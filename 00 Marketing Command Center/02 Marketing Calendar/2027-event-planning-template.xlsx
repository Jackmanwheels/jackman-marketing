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rproseriescom-my.sharepoint.com/personal/austin_jackmanwheels_com/Documents/Documents/00 Marketing Department/00 Marketing Command Center/02 Marketing Calendar/"/>
    </mc:Choice>
  </mc:AlternateContent>
  <xr:revisionPtr revIDLastSave="19" documentId="11_794D7F4A976E1054DE740DCC71FE55A2DC89035E" xr6:coauthVersionLast="47" xr6:coauthVersionMax="47" xr10:uidLastSave="{94259ED6-A8A3-40F3-8D71-7C8E8D070EDB}"/>
  <bookViews>
    <workbookView xWindow="-120" yWindow="-120" windowWidth="29040" windowHeight="15720" activeTab="1" xr2:uid="{00000000-000D-0000-FFFF-FFFF00000000}"/>
  </bookViews>
  <sheets>
    <sheet name="How To Use" sheetId="1" r:id="rId1"/>
    <sheet name="2027 Events" sheetId="2" r:id="rId2"/>
    <sheet name="Monthly Summary" sheetId="3" r:id="rId3"/>
  </sheets>
  <definedNames>
    <definedName name="_xlnm._FilterDatabase" localSheetId="1" hidden="1">'2027 Events'!$A$4:$L$63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C15" i="3" l="1"/>
  <c r="B6" i="3"/>
  <c r="B8" i="3"/>
  <c r="C8" i="3"/>
  <c r="B9" i="3"/>
  <c r="C9" i="3"/>
  <c r="B10" i="3"/>
  <c r="C10" i="3"/>
  <c r="B11" i="3"/>
  <c r="C11" i="3"/>
  <c r="B4" i="3"/>
  <c r="B12" i="3"/>
  <c r="C4" i="3"/>
  <c r="C12" i="3"/>
  <c r="B13" i="3"/>
  <c r="C5" i="3"/>
  <c r="C13" i="3"/>
  <c r="B5" i="3"/>
  <c r="B14" i="3"/>
  <c r="C6" i="3"/>
  <c r="C14" i="3"/>
  <c r="B7" i="3"/>
  <c r="B15" i="3"/>
  <c r="C7" i="3"/>
  <c r="B16" i="3" l="1"/>
  <c r="C16" i="3"/>
</calcChain>
</file>

<file path=xl/sharedStrings.xml><?xml version="1.0" encoding="utf-8"?>
<sst xmlns="http://schemas.openxmlformats.org/spreadsheetml/2006/main" count="77" uniqueCount="71">
  <si>
    <t>2027 Event Planning Template — drop events in, build the plan from there.</t>
  </si>
  <si>
    <t>How this works</t>
  </si>
  <si>
    <t>1. Go to the "2027 Events" tab. Each row is one event.</t>
  </si>
  <si>
    <t>2. Fill in columns A through K for every event you're planning or considering.</t>
  </si>
  <si>
    <t>3. Five real rows are already seeded from overlandexpo.com (checked 2026-09-24) — Owner, Priority, Budget, Status, and Goal/KPI are left for you to fill in.</t>
  </si>
  <si>
    <t>4. Category, Priority, and Status are dropdowns — click the cell and use the arrow.</t>
  </si>
  <si>
    <t>5. The "Monthly Summary" tab updates automatically (it counts events per month by category) — no need to touch it.</t>
  </si>
  <si>
    <t>Column guide</t>
  </si>
  <si>
    <t>Event Name — what you'd call it on a calendar invite.</t>
  </si>
  <si>
    <t>Category — Trade Show, Product Launch, Content Shoot, Campaign Launch, Promotion/Sale, Ambassador/Partnership, Seasonal, Other.</t>
  </si>
  <si>
    <t>Start Date / End Date — use the same day for single-day events.</t>
  </si>
  <si>
    <t>Location — city/venue, or "Online" / "Studio" for shoots and digital-only campaigns.</t>
  </si>
  <si>
    <t>Owner — who's driving it (can be you, a teammate, or an agency/vendor).</t>
  </si>
  <si>
    <t>Priority — High / Medium / Low, for when the calendar gets crowded and something has to give.</t>
  </si>
  <si>
    <t>Status — Idea, Planned, Confirmed, In Progress, Complete, Cancelled.</t>
  </si>
  <si>
    <t>Budget — planning-stage estimate is fine; refine as it firms up.</t>
  </si>
  <si>
    <t>Goal / KPI — the one number or outcome that tells you it worked.</t>
  </si>
  <si>
    <t>Notes — anything else worth flagging (dependencies, deadlines, who to loop in).</t>
  </si>
  <si>
    <t>JACKMAN WHEELS  ·  2027 EVENT PLANNING</t>
  </si>
  <si>
    <t>Drop in events across the year — trade shows, launches, shoots, campaigns, promos.</t>
  </si>
  <si>
    <t>Event Name</t>
  </si>
  <si>
    <t>Category</t>
  </si>
  <si>
    <t>Start Date</t>
  </si>
  <si>
    <t>End Date</t>
  </si>
  <si>
    <t>Location</t>
  </si>
  <si>
    <t>Owner</t>
  </si>
  <si>
    <t>Priority</t>
  </si>
  <si>
    <t>Status</t>
  </si>
  <si>
    <t>Budget</t>
  </si>
  <si>
    <t>Goal / KPI</t>
  </si>
  <si>
    <t>Notes</t>
  </si>
  <si>
    <t>Month #</t>
  </si>
  <si>
    <t>Overland Expo SoCal 2027</t>
  </si>
  <si>
    <t>Trade Show</t>
  </si>
  <si>
    <t>2027-03-13</t>
  </si>
  <si>
    <t>2027-03-14</t>
  </si>
  <si>
    <t>Costa Mesa, CA</t>
  </si>
  <si>
    <t>Idea</t>
  </si>
  <si>
    <t>Smallest/newest OE regional show. Source: overlandexpo.com/socal/ (checked 2026-09-24).</t>
  </si>
  <si>
    <t>Overland Expo West 2027</t>
  </si>
  <si>
    <t>2027-05-14</t>
  </si>
  <si>
    <t>2027-05-16</t>
  </si>
  <si>
    <t>Flagstaff, AZ</t>
  </si>
  <si>
    <t>Largest OE show — 28,500+ attendees in 2026. Booth space is first-come; exhibitor rates not yet published. Source: overlandexpo.com/west/exhibitor-registration-west/ (checked 2026-09-24).</t>
  </si>
  <si>
    <t>Overland Expo PNW 2027</t>
  </si>
  <si>
    <t>2027-06-25</t>
  </si>
  <si>
    <t>2027-06-27</t>
  </si>
  <si>
    <t>Redmond, OR</t>
  </si>
  <si>
    <t>Source: overlandexpo.com/pacific-northwest/ (checked 2026-09-24).</t>
  </si>
  <si>
    <t>Khaki rows = seeded from overlandexpo.com — confirm before booking. Column L auto-calculates from Start Date and feeds the Monthly Summary tab; leave its formula as-is.</t>
  </si>
  <si>
    <t>JACKMAN WHEELS  ·  MONTHLY SUMMARY</t>
  </si>
  <si>
    <t>Month</t>
  </si>
  <si>
    <t># Events</t>
  </si>
  <si>
    <t>Budget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</si>
  <si>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</si>
  <si>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</si>
  <si>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</si>
  <si>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</si>
  <si>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</si>
  <si>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</si>
  <si>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</si>
  <si>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</si>
  <si>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</si>
  <si>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</si>
  <si>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</si>
  <si>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</si>
  <si>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</si>
  <si>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Garden Grove, CA</t>
  </si>
  <si>
    <t>Massive Overland Market. King Shocks Toy Drive</t>
  </si>
  <si>
    <t>Rodeo x Rigs</t>
  </si>
  <si>
    <t>Rodes X Rigs - King Shocks Toy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</si>
</sst>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9" x14ac:knownFonts="1">
    <font>
      <sz val="11"/>
      <color theme="1"/>
      <name val="Calibri"/>
      <family val="2"/>
      <scheme val="minor"/>
    </font>
    <font>
      <i/>
      <sz val="11"/>
      <color rgb="FF3A3A38"/>
      <name val="Segoe UI"/>
    </font>
    <font>
      <b/>
      <sz val="13"/>
      <color rgb="FF0E0E0E"/>
      <name val="Arial Narrow"/>
    </font>
    <font>
      <sz val="10.5"/>
      <color rgb="FF333333"/>
      <name val="Segoe UI"/>
    </font>
    <font>
      <b/>
      <sz val="16"/>
      <color rgb="FFF4F1EA"/>
      <name val="Arial Narrow"/>
    </font>
    <font>
      <i/>
      <sz val="9.5"/>
      <color rgb="FFC4C6C3"/>
      <name val="Segoe UI"/>
    </font>
    <font>
      <b/>
      <sz val="11"/>
      <color rgb="FFF4F1EA"/>
      <name val="Arial Narrow"/>
    </font>
    <font>
      <sz val="10.5"/>
      <color rgb="FF0E0E0E"/>
      <name val="Segoe UI"/>
    </font>
    <font>
      <i/>
      <sz val="9.5"/>
      <color rgb="FF777777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E0E0E"/>
      </patternFill>
    </fill>
    <fill>
      <patternFill patternType="solid">
        <fgColor rgb="FFA6763C"/>
      </patternFill>
    </fill>
    <fill>
      <patternFill patternType="solid">
        <fgColor rgb="FFF4F1EA"/>
      </patternFill>
    </fill>
    <fill>
      <patternFill patternType="solid">
        <fgColor rgb="FF3A3A38"/>
      </patternFill>
    </fill>
  </fills>
  <borders count="2">
    <border>
      <left/>
      <right/>
      <top/>
      <bottom/>
      <diagonal/>
    </border>
    <border>
      <left style="thin">
        <color rgb="FFC4C6C3"/>
      </left>
      <right style="thin">
        <color rgb="FFC4C6C3"/>
      </right>
      <top style="thin">
        <color rgb="FFC4C6C3"/>
      </top>
      <bottom style="thin">
        <color rgb="FFC4C6C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8" fillId="0" borderId="0" xfId="0" applyFont="1"/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/>
    <xf numFmtId="0" fontId="0" fillId="3" borderId="0" xfId="0" applyFill="1"/>
    <xf numFmtId="0" fontId="0" fillId="2" borderId="0" xfId="0" applyFill="1"/>
    <xf numFmtId="0" fontId="5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3">
    <dxf>
      <font>
        <i/>
        <color rgb="FF9E2B25"/>
        <name val="Segoe UI"/>
      </font>
    </dxf>
    <dxf>
      <font>
        <b/>
        <color rgb="FF3A3A38"/>
        <name val="Segoe UI"/>
      </font>
    </dxf>
    <dxf>
      <font>
        <b/>
        <color rgb="FFA6763C"/>
        <name val="Segoe U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763C"/>
  </sheetPr>
  <dimension ref="A1:B22"/>
  <sheetViews>
    <sheetView showGridLines="0" workbookViewId="0">
      <selection sqref="A1:B1"/>
    </sheetView>
  </sheetViews>
  <sheetFormatPr defaultRowHeight="15" x14ac:dyDescent="0.25"/>
  <cols>
    <col min="1" max="1" width="4" customWidth="1"/>
    <col min="2" max="2" width="100" customWidth="1"/>
  </cols>
  <sheetData>
    <row r="1" spans="1:2" ht="54" customHeight="1" x14ac:dyDescent="0.25">
      <c r="A1" s="18"/>
      <c r="B1" s="18"/>
    </row>
    <row r="2" spans="1:2" ht="3.95" customHeight="1" x14ac:dyDescent="0.25">
      <c r="A2" s="17"/>
      <c r="B2" s="17"/>
    </row>
    <row r="3" spans="1:2" ht="16.5" x14ac:dyDescent="0.3">
      <c r="B3" s="2" t="s">
        <v>0</v>
      </c>
    </row>
    <row r="5" spans="1:2" ht="17.25" x14ac:dyDescent="0.3">
      <c r="B5" s="3" t="s">
        <v>1</v>
      </c>
    </row>
    <row r="6" spans="1:2" ht="15.75" x14ac:dyDescent="0.3">
      <c r="B6" s="4" t="s">
        <v>2</v>
      </c>
    </row>
    <row r="7" spans="1:2" ht="15.75" x14ac:dyDescent="0.3">
      <c r="B7" s="4" t="s">
        <v>3</v>
      </c>
    </row>
    <row r="8" spans="1:2" ht="31.5" x14ac:dyDescent="0.3">
      <c r="B8" s="4" t="s">
        <v>4</v>
      </c>
    </row>
    <row r="9" spans="1:2" ht="15.75" x14ac:dyDescent="0.3">
      <c r="B9" s="4" t="s">
        <v>5</v>
      </c>
    </row>
    <row r="10" spans="1:2" ht="31.5" x14ac:dyDescent="0.3">
      <c r="B10" s="4" t="s">
        <v>6</v>
      </c>
    </row>
    <row r="11" spans="1:2" ht="15.75" x14ac:dyDescent="0.3">
      <c r="B11" s="4"/>
    </row>
    <row r="12" spans="1:2" ht="17.25" x14ac:dyDescent="0.3">
      <c r="B12" s="3" t="s">
        <v>7</v>
      </c>
    </row>
    <row r="13" spans="1:2" ht="15.75" x14ac:dyDescent="0.3">
      <c r="B13" s="4" t="s">
        <v>8</v>
      </c>
    </row>
    <row r="14" spans="1:2" ht="31.5" x14ac:dyDescent="0.3">
      <c r="B14" s="4" t="s">
        <v>9</v>
      </c>
    </row>
    <row r="15" spans="1:2" ht="15.75" x14ac:dyDescent="0.3">
      <c r="B15" s="4" t="s">
        <v>10</v>
      </c>
    </row>
    <row r="16" spans="1:2" ht="15.75" x14ac:dyDescent="0.3">
      <c r="B16" s="4" t="s">
        <v>11</v>
      </c>
    </row>
    <row r="17" spans="2:2" ht="15.75" x14ac:dyDescent="0.3">
      <c r="B17" s="4" t="s">
        <v>12</v>
      </c>
    </row>
    <row r="18" spans="2:2" ht="15.75" x14ac:dyDescent="0.3">
      <c r="B18" s="4" t="s">
        <v>13</v>
      </c>
    </row>
    <row r="19" spans="2:2" ht="15.75" x14ac:dyDescent="0.3">
      <c r="B19" s="4" t="s">
        <v>14</v>
      </c>
    </row>
    <row r="20" spans="2:2" ht="15.75" x14ac:dyDescent="0.3">
      <c r="B20" s="4" t="s">
        <v>15</v>
      </c>
    </row>
    <row r="21" spans="2:2" ht="15.75" x14ac:dyDescent="0.3">
      <c r="B21" s="4" t="s">
        <v>16</v>
      </c>
    </row>
    <row r="22" spans="2:2" ht="15.75" x14ac:dyDescent="0.3">
      <c r="B22" s="4" t="s">
        <v>17</v>
      </c>
    </row>
  </sheetData>
  <mergeCells count="2">
    <mergeCell ref="A2:B2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763C"/>
  </sheetPr>
  <dimension ref="A1:L65"/>
  <sheetViews>
    <sheetView showGridLines="0" tabSelected="1" workbookViewId="0">
      <pane ySplit="4" topLeftCell="A5" activePane="bottomLeft" state="frozen"/>
      <selection pane="bottomLeft" activeCell="I5" sqref="I5"/>
    </sheetView>
  </sheetViews>
  <sheetFormatPr defaultRowHeight="15" x14ac:dyDescent="0.25"/>
  <cols>
    <col min="1" max="1" width="36.42578125" customWidth="1"/>
    <col min="2" max="2" width="20" customWidth="1"/>
    <col min="3" max="4" width="13" customWidth="1"/>
    <col min="5" max="5" width="20" customWidth="1"/>
    <col min="6" max="6" width="16" customWidth="1"/>
    <col min="7" max="7" width="10" customWidth="1"/>
    <col min="8" max="8" width="14" customWidth="1"/>
    <col min="9" max="9" width="12" customWidth="1"/>
    <col min="10" max="10" width="28" customWidth="1"/>
    <col min="11" max="11" width="69.5703125" customWidth="1"/>
    <col min="12" max="12" width="15.42578125" customWidth="1"/>
  </cols>
  <sheetData>
    <row r="1" spans="1:12" ht="33.950000000000003" customHeight="1" x14ac:dyDescent="0.25">
      <c r="A1" s="20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 x14ac:dyDescent="0.25">
      <c r="A2" s="19" t="s">
        <v>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30" customHeight="1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</row>
    <row r="5" spans="1:12" ht="15.75" x14ac:dyDescent="0.3">
      <c r="A5" s="14" t="s">
        <v>70</v>
      </c>
      <c r="B5" s="14" t="s">
        <v>33</v>
      </c>
      <c r="C5" s="15">
        <v>46375</v>
      </c>
      <c r="D5" s="15">
        <v>46375</v>
      </c>
      <c r="E5" s="14" t="s">
        <v>67</v>
      </c>
      <c r="F5" s="14" t="s">
        <v>69</v>
      </c>
      <c r="G5" s="14"/>
      <c r="H5" s="14" t="s">
        <v>37</v>
      </c>
      <c r="I5" s="16"/>
      <c r="J5" s="14"/>
      <c r="K5" s="14" t="s">
        <v>68</v>
      </c>
      <c r="L5" s="14">
        <f t="shared" ref="L5" si="0">IF(C5="","",MONTH(C5))</f>
        <v>12</v>
      </c>
    </row>
    <row r="6" spans="1:12" ht="15.75" x14ac:dyDescent="0.3">
      <c r="A6" s="14" t="s">
        <v>32</v>
      </c>
      <c r="B6" s="14" t="s">
        <v>33</v>
      </c>
      <c r="C6" s="15" t="s">
        <v>34</v>
      </c>
      <c r="D6" s="15" t="s">
        <v>35</v>
      </c>
      <c r="E6" s="14" t="s">
        <v>36</v>
      </c>
      <c r="F6" s="14"/>
      <c r="G6" s="14"/>
      <c r="H6" s="14" t="s">
        <v>37</v>
      </c>
      <c r="I6" s="16"/>
      <c r="J6" s="14"/>
      <c r="K6" s="14" t="s">
        <v>38</v>
      </c>
      <c r="L6" s="14">
        <f t="shared" ref="L6:L35" si="1">IF(C6="","",MONTH(C6))</f>
        <v>3</v>
      </c>
    </row>
    <row r="7" spans="1:12" ht="15.75" x14ac:dyDescent="0.3">
      <c r="A7" s="14" t="s">
        <v>39</v>
      </c>
      <c r="B7" s="14" t="s">
        <v>33</v>
      </c>
      <c r="C7" s="15" t="s">
        <v>40</v>
      </c>
      <c r="D7" s="15" t="s">
        <v>41</v>
      </c>
      <c r="E7" s="14" t="s">
        <v>42</v>
      </c>
      <c r="F7" s="14"/>
      <c r="G7" s="14"/>
      <c r="H7" s="14" t="s">
        <v>37</v>
      </c>
      <c r="I7" s="16"/>
      <c r="J7" s="14"/>
      <c r="K7" s="14" t="s">
        <v>43</v>
      </c>
      <c r="L7" s="14">
        <f t="shared" si="1"/>
        <v>5</v>
      </c>
    </row>
    <row r="8" spans="1:12" ht="15.75" x14ac:dyDescent="0.3">
      <c r="A8" s="14" t="s">
        <v>44</v>
      </c>
      <c r="B8" s="14" t="s">
        <v>33</v>
      </c>
      <c r="C8" s="15" t="s">
        <v>45</v>
      </c>
      <c r="D8" s="15" t="s">
        <v>46</v>
      </c>
      <c r="E8" s="14" t="s">
        <v>47</v>
      </c>
      <c r="F8" s="14"/>
      <c r="G8" s="14"/>
      <c r="H8" s="14" t="s">
        <v>37</v>
      </c>
      <c r="I8" s="16"/>
      <c r="J8" s="14"/>
      <c r="K8" s="14" t="s">
        <v>48</v>
      </c>
      <c r="L8" s="14">
        <f t="shared" si="1"/>
        <v>6</v>
      </c>
    </row>
    <row r="9" spans="1:12" ht="15.75" x14ac:dyDescent="0.3">
      <c r="A9" s="14"/>
      <c r="B9" s="14"/>
      <c r="C9" s="15"/>
      <c r="D9" s="15"/>
      <c r="E9" s="14"/>
      <c r="F9" s="14"/>
      <c r="G9" s="14"/>
      <c r="H9" s="14"/>
      <c r="I9" s="16"/>
      <c r="J9" s="14"/>
      <c r="K9" s="14"/>
      <c r="L9" s="14" t="str">
        <f t="shared" si="1"/>
        <v/>
      </c>
    </row>
    <row r="10" spans="1:12" ht="15.75" x14ac:dyDescent="0.3">
      <c r="A10" s="14"/>
      <c r="B10" s="14"/>
      <c r="C10" s="15"/>
      <c r="D10" s="15"/>
      <c r="E10" s="14"/>
      <c r="F10" s="14"/>
      <c r="G10" s="14"/>
      <c r="H10" s="14"/>
      <c r="I10" s="16"/>
      <c r="J10" s="14"/>
      <c r="K10" s="14"/>
      <c r="L10" s="14" t="str">
        <f t="shared" si="1"/>
        <v/>
      </c>
    </row>
    <row r="11" spans="1:12" ht="15.75" x14ac:dyDescent="0.3">
      <c r="A11" s="14"/>
      <c r="B11" s="14"/>
      <c r="C11" s="15"/>
      <c r="D11" s="15"/>
      <c r="E11" s="14"/>
      <c r="F11" s="14"/>
      <c r="G11" s="14"/>
      <c r="H11" s="14"/>
      <c r="I11" s="16"/>
      <c r="J11" s="14"/>
      <c r="K11" s="14"/>
      <c r="L11" s="14" t="str">
        <f t="shared" si="1"/>
        <v/>
      </c>
    </row>
    <row r="12" spans="1:12" ht="15.75" x14ac:dyDescent="0.3">
      <c r="A12" s="14"/>
      <c r="B12" s="14"/>
      <c r="C12" s="15"/>
      <c r="D12" s="15"/>
      <c r="E12" s="14"/>
      <c r="F12" s="14"/>
      <c r="G12" s="14"/>
      <c r="H12" s="14"/>
      <c r="I12" s="16"/>
      <c r="J12" s="14"/>
      <c r="K12" s="14"/>
      <c r="L12" s="14" t="str">
        <f t="shared" si="1"/>
        <v/>
      </c>
    </row>
    <row r="13" spans="1:12" ht="15.75" x14ac:dyDescent="0.3">
      <c r="A13" s="14"/>
      <c r="B13" s="14"/>
      <c r="C13" s="15"/>
      <c r="D13" s="15"/>
      <c r="E13" s="14"/>
      <c r="F13" s="14"/>
      <c r="G13" s="14"/>
      <c r="H13" s="14"/>
      <c r="I13" s="16"/>
      <c r="J13" s="14"/>
      <c r="K13" s="14"/>
      <c r="L13" s="14" t="str">
        <f t="shared" si="1"/>
        <v/>
      </c>
    </row>
    <row r="14" spans="1:12" ht="15.75" x14ac:dyDescent="0.3">
      <c r="A14" s="14"/>
      <c r="B14" s="14"/>
      <c r="C14" s="15"/>
      <c r="D14" s="15"/>
      <c r="E14" s="14"/>
      <c r="F14" s="14"/>
      <c r="G14" s="14"/>
      <c r="H14" s="14"/>
      <c r="I14" s="16"/>
      <c r="J14" s="14"/>
      <c r="K14" s="14"/>
      <c r="L14" s="14" t="str">
        <f t="shared" si="1"/>
        <v/>
      </c>
    </row>
    <row r="15" spans="1:12" ht="15.75" x14ac:dyDescent="0.3">
      <c r="A15" s="14"/>
      <c r="B15" s="14"/>
      <c r="C15" s="15"/>
      <c r="D15" s="15"/>
      <c r="E15" s="14"/>
      <c r="F15" s="14"/>
      <c r="G15" s="14"/>
      <c r="H15" s="14"/>
      <c r="I15" s="16"/>
      <c r="J15" s="14"/>
      <c r="K15" s="14"/>
      <c r="L15" s="14" t="str">
        <f t="shared" si="1"/>
        <v/>
      </c>
    </row>
    <row r="16" spans="1:12" ht="15.75" x14ac:dyDescent="0.3">
      <c r="A16" s="14"/>
      <c r="B16" s="14"/>
      <c r="C16" s="15"/>
      <c r="D16" s="15"/>
      <c r="E16" s="14"/>
      <c r="F16" s="14"/>
      <c r="G16" s="14"/>
      <c r="H16" s="14"/>
      <c r="I16" s="16"/>
      <c r="J16" s="14"/>
      <c r="K16" s="14"/>
      <c r="L16" s="14" t="str">
        <f t="shared" si="1"/>
        <v/>
      </c>
    </row>
    <row r="17" spans="1:12" ht="15.75" x14ac:dyDescent="0.3">
      <c r="A17" s="14"/>
      <c r="B17" s="14"/>
      <c r="C17" s="15"/>
      <c r="D17" s="15"/>
      <c r="E17" s="14"/>
      <c r="F17" s="14"/>
      <c r="G17" s="14"/>
      <c r="H17" s="14"/>
      <c r="I17" s="16"/>
      <c r="J17" s="14"/>
      <c r="K17" s="14"/>
      <c r="L17" s="14" t="str">
        <f t="shared" si="1"/>
        <v/>
      </c>
    </row>
    <row r="18" spans="1:12" ht="15.75" x14ac:dyDescent="0.3">
      <c r="A18" s="14"/>
      <c r="B18" s="14"/>
      <c r="C18" s="15"/>
      <c r="D18" s="15"/>
      <c r="E18" s="14"/>
      <c r="F18" s="14"/>
      <c r="G18" s="14"/>
      <c r="H18" s="14"/>
      <c r="I18" s="16"/>
      <c r="J18" s="14"/>
      <c r="K18" s="14"/>
      <c r="L18" s="14" t="str">
        <f t="shared" si="1"/>
        <v/>
      </c>
    </row>
    <row r="19" spans="1:12" ht="15.75" x14ac:dyDescent="0.3">
      <c r="A19" s="14"/>
      <c r="B19" s="14"/>
      <c r="C19" s="15"/>
      <c r="D19" s="15"/>
      <c r="E19" s="14"/>
      <c r="F19" s="14"/>
      <c r="G19" s="14"/>
      <c r="H19" s="14"/>
      <c r="I19" s="16"/>
      <c r="J19" s="14"/>
      <c r="K19" s="14"/>
      <c r="L19" s="14" t="str">
        <f t="shared" si="1"/>
        <v/>
      </c>
    </row>
    <row r="20" spans="1:12" ht="15.75" x14ac:dyDescent="0.3">
      <c r="A20" s="14"/>
      <c r="B20" s="14"/>
      <c r="C20" s="15"/>
      <c r="D20" s="15"/>
      <c r="E20" s="14"/>
      <c r="F20" s="14"/>
      <c r="G20" s="14"/>
      <c r="H20" s="14"/>
      <c r="I20" s="16"/>
      <c r="J20" s="14"/>
      <c r="K20" s="14"/>
      <c r="L20" s="14" t="str">
        <f t="shared" si="1"/>
        <v/>
      </c>
    </row>
    <row r="21" spans="1:12" ht="15.75" x14ac:dyDescent="0.3">
      <c r="A21" s="14"/>
      <c r="B21" s="14"/>
      <c r="C21" s="15"/>
      <c r="D21" s="15"/>
      <c r="E21" s="14"/>
      <c r="F21" s="14"/>
      <c r="G21" s="14"/>
      <c r="H21" s="14"/>
      <c r="I21" s="16"/>
      <c r="J21" s="14"/>
      <c r="K21" s="14"/>
      <c r="L21" s="14" t="str">
        <f t="shared" si="1"/>
        <v/>
      </c>
    </row>
    <row r="22" spans="1:12" ht="15.75" x14ac:dyDescent="0.3">
      <c r="A22" s="14"/>
      <c r="B22" s="14"/>
      <c r="C22" s="15"/>
      <c r="D22" s="15"/>
      <c r="E22" s="14"/>
      <c r="F22" s="14"/>
      <c r="G22" s="14"/>
      <c r="H22" s="14"/>
      <c r="I22" s="16"/>
      <c r="J22" s="14"/>
      <c r="K22" s="14"/>
      <c r="L22" s="14" t="str">
        <f t="shared" si="1"/>
        <v/>
      </c>
    </row>
    <row r="23" spans="1:12" ht="15.75" x14ac:dyDescent="0.3">
      <c r="A23" s="14"/>
      <c r="B23" s="14"/>
      <c r="C23" s="15"/>
      <c r="D23" s="15"/>
      <c r="E23" s="14"/>
      <c r="F23" s="14"/>
      <c r="G23" s="14"/>
      <c r="H23" s="14"/>
      <c r="I23" s="16"/>
      <c r="J23" s="14"/>
      <c r="K23" s="14"/>
      <c r="L23" s="14" t="str">
        <f t="shared" si="1"/>
        <v/>
      </c>
    </row>
    <row r="24" spans="1:12" ht="15.75" x14ac:dyDescent="0.3">
      <c r="A24" s="14"/>
      <c r="B24" s="14"/>
      <c r="C24" s="15"/>
      <c r="D24" s="15"/>
      <c r="E24" s="14"/>
      <c r="F24" s="14"/>
      <c r="G24" s="14"/>
      <c r="H24" s="14"/>
      <c r="I24" s="16"/>
      <c r="J24" s="14"/>
      <c r="K24" s="14"/>
      <c r="L24" s="14" t="str">
        <f t="shared" si="1"/>
        <v/>
      </c>
    </row>
    <row r="25" spans="1:12" ht="15.75" x14ac:dyDescent="0.3">
      <c r="A25" s="14"/>
      <c r="B25" s="14"/>
      <c r="C25" s="15"/>
      <c r="D25" s="15"/>
      <c r="E25" s="14"/>
      <c r="F25" s="14"/>
      <c r="G25" s="14"/>
      <c r="H25" s="14"/>
      <c r="I25" s="16"/>
      <c r="J25" s="14"/>
      <c r="K25" s="14"/>
      <c r="L25" s="14" t="str">
        <f t="shared" si="1"/>
        <v/>
      </c>
    </row>
    <row r="26" spans="1:12" ht="15.75" x14ac:dyDescent="0.3">
      <c r="A26" s="14"/>
      <c r="B26" s="14"/>
      <c r="C26" s="15"/>
      <c r="D26" s="15"/>
      <c r="E26" s="14"/>
      <c r="F26" s="14"/>
      <c r="G26" s="14"/>
      <c r="H26" s="14"/>
      <c r="I26" s="16"/>
      <c r="J26" s="14"/>
      <c r="K26" s="14"/>
      <c r="L26" s="14" t="str">
        <f t="shared" si="1"/>
        <v/>
      </c>
    </row>
    <row r="27" spans="1:12" ht="15.75" x14ac:dyDescent="0.3">
      <c r="A27" s="14"/>
      <c r="B27" s="14"/>
      <c r="C27" s="15"/>
      <c r="D27" s="15"/>
      <c r="E27" s="14"/>
      <c r="F27" s="14"/>
      <c r="G27" s="14"/>
      <c r="H27" s="14"/>
      <c r="I27" s="16"/>
      <c r="J27" s="14"/>
      <c r="K27" s="14"/>
      <c r="L27" s="14" t="str">
        <f t="shared" si="1"/>
        <v/>
      </c>
    </row>
    <row r="28" spans="1:12" ht="15.75" x14ac:dyDescent="0.3">
      <c r="A28" s="14"/>
      <c r="B28" s="14"/>
      <c r="C28" s="15"/>
      <c r="D28" s="15"/>
      <c r="E28" s="14"/>
      <c r="F28" s="14"/>
      <c r="G28" s="14"/>
      <c r="H28" s="14"/>
      <c r="I28" s="16"/>
      <c r="J28" s="14"/>
      <c r="K28" s="14"/>
      <c r="L28" s="14" t="str">
        <f t="shared" si="1"/>
        <v/>
      </c>
    </row>
    <row r="29" spans="1:12" ht="15.75" x14ac:dyDescent="0.3">
      <c r="A29" s="14"/>
      <c r="B29" s="14"/>
      <c r="C29" s="15"/>
      <c r="D29" s="15"/>
      <c r="E29" s="14"/>
      <c r="F29" s="14"/>
      <c r="G29" s="14"/>
      <c r="H29" s="14"/>
      <c r="I29" s="16"/>
      <c r="J29" s="14"/>
      <c r="K29" s="14"/>
      <c r="L29" s="14" t="str">
        <f t="shared" si="1"/>
        <v/>
      </c>
    </row>
    <row r="30" spans="1:12" ht="15.75" x14ac:dyDescent="0.3">
      <c r="A30" s="14"/>
      <c r="B30" s="14"/>
      <c r="C30" s="15"/>
      <c r="D30" s="15"/>
      <c r="E30" s="14"/>
      <c r="F30" s="14"/>
      <c r="G30" s="14"/>
      <c r="H30" s="14"/>
      <c r="I30" s="16"/>
      <c r="J30" s="14"/>
      <c r="K30" s="14"/>
      <c r="L30" s="14" t="str">
        <f t="shared" si="1"/>
        <v/>
      </c>
    </row>
    <row r="31" spans="1:12" ht="15.75" x14ac:dyDescent="0.3">
      <c r="A31" s="14"/>
      <c r="B31" s="14"/>
      <c r="C31" s="15"/>
      <c r="D31" s="15"/>
      <c r="E31" s="14"/>
      <c r="F31" s="14"/>
      <c r="G31" s="14"/>
      <c r="H31" s="14"/>
      <c r="I31" s="16"/>
      <c r="J31" s="14"/>
      <c r="K31" s="14"/>
      <c r="L31" s="14" t="str">
        <f t="shared" si="1"/>
        <v/>
      </c>
    </row>
    <row r="32" spans="1:12" ht="15.75" x14ac:dyDescent="0.3">
      <c r="A32" s="14"/>
      <c r="B32" s="14"/>
      <c r="C32" s="15"/>
      <c r="D32" s="15"/>
      <c r="E32" s="14"/>
      <c r="F32" s="14"/>
      <c r="G32" s="14"/>
      <c r="H32" s="14"/>
      <c r="I32" s="16"/>
      <c r="J32" s="14"/>
      <c r="K32" s="14"/>
      <c r="L32" s="14" t="str">
        <f t="shared" si="1"/>
        <v/>
      </c>
    </row>
    <row r="33" spans="1:12" ht="15.75" x14ac:dyDescent="0.3">
      <c r="A33" s="14"/>
      <c r="B33" s="14"/>
      <c r="C33" s="15"/>
      <c r="D33" s="15"/>
      <c r="E33" s="14"/>
      <c r="F33" s="14"/>
      <c r="G33" s="14"/>
      <c r="H33" s="14"/>
      <c r="I33" s="16"/>
      <c r="J33" s="14"/>
      <c r="K33" s="14"/>
      <c r="L33" s="14" t="str">
        <f t="shared" si="1"/>
        <v/>
      </c>
    </row>
    <row r="34" spans="1:12" ht="15.75" x14ac:dyDescent="0.3">
      <c r="A34" s="14"/>
      <c r="B34" s="14"/>
      <c r="C34" s="15"/>
      <c r="D34" s="15"/>
      <c r="E34" s="14"/>
      <c r="F34" s="14"/>
      <c r="G34" s="14"/>
      <c r="H34" s="14"/>
      <c r="I34" s="16"/>
      <c r="J34" s="14"/>
      <c r="K34" s="14"/>
      <c r="L34" s="14" t="str">
        <f t="shared" si="1"/>
        <v/>
      </c>
    </row>
    <row r="35" spans="1:12" ht="15.75" x14ac:dyDescent="0.3">
      <c r="A35" s="14"/>
      <c r="B35" s="14"/>
      <c r="C35" s="15"/>
      <c r="D35" s="15"/>
      <c r="E35" s="14"/>
      <c r="F35" s="14"/>
      <c r="G35" s="14"/>
      <c r="H35" s="14"/>
      <c r="I35" s="16"/>
      <c r="J35" s="14"/>
      <c r="K35" s="14"/>
      <c r="L35" s="14" t="str">
        <f t="shared" si="1"/>
        <v/>
      </c>
    </row>
    <row r="36" spans="1:12" ht="15.75" x14ac:dyDescent="0.3">
      <c r="A36" s="14"/>
      <c r="B36" s="14"/>
      <c r="C36" s="15"/>
      <c r="D36" s="15"/>
      <c r="E36" s="14"/>
      <c r="F36" s="14"/>
      <c r="G36" s="14"/>
      <c r="H36" s="14"/>
      <c r="I36" s="16"/>
      <c r="J36" s="14"/>
      <c r="K36" s="14"/>
      <c r="L36" s="14" t="str">
        <f t="shared" ref="L36:L63" si="2">IF(C36="","",MONTH(C36))</f>
        <v/>
      </c>
    </row>
    <row r="37" spans="1:12" ht="15.75" x14ac:dyDescent="0.3">
      <c r="A37" s="14"/>
      <c r="B37" s="14"/>
      <c r="C37" s="15"/>
      <c r="D37" s="15"/>
      <c r="E37" s="14"/>
      <c r="F37" s="14"/>
      <c r="G37" s="14"/>
      <c r="H37" s="14"/>
      <c r="I37" s="16"/>
      <c r="J37" s="14"/>
      <c r="K37" s="14"/>
      <c r="L37" s="14" t="str">
        <f t="shared" si="2"/>
        <v/>
      </c>
    </row>
    <row r="38" spans="1:12" ht="15.75" x14ac:dyDescent="0.3">
      <c r="A38" s="14"/>
      <c r="B38" s="14"/>
      <c r="C38" s="15"/>
      <c r="D38" s="15"/>
      <c r="E38" s="14"/>
      <c r="F38" s="14"/>
      <c r="G38" s="14"/>
      <c r="H38" s="14"/>
      <c r="I38" s="16"/>
      <c r="J38" s="14"/>
      <c r="K38" s="14"/>
      <c r="L38" s="14" t="str">
        <f t="shared" si="2"/>
        <v/>
      </c>
    </row>
    <row r="39" spans="1:12" ht="15.75" x14ac:dyDescent="0.3">
      <c r="A39" s="14"/>
      <c r="B39" s="14"/>
      <c r="C39" s="15"/>
      <c r="D39" s="15"/>
      <c r="E39" s="14"/>
      <c r="F39" s="14"/>
      <c r="G39" s="14"/>
      <c r="H39" s="14"/>
      <c r="I39" s="16"/>
      <c r="J39" s="14"/>
      <c r="K39" s="14"/>
      <c r="L39" s="14" t="str">
        <f t="shared" si="2"/>
        <v/>
      </c>
    </row>
    <row r="40" spans="1:12" ht="15.75" x14ac:dyDescent="0.3">
      <c r="A40" s="14"/>
      <c r="B40" s="14"/>
      <c r="C40" s="15"/>
      <c r="D40" s="15"/>
      <c r="E40" s="14"/>
      <c r="F40" s="14"/>
      <c r="G40" s="14"/>
      <c r="H40" s="14"/>
      <c r="I40" s="16"/>
      <c r="J40" s="14"/>
      <c r="K40" s="14"/>
      <c r="L40" s="14" t="str">
        <f t="shared" si="2"/>
        <v/>
      </c>
    </row>
    <row r="41" spans="1:12" ht="15.75" x14ac:dyDescent="0.3">
      <c r="A41" s="14"/>
      <c r="B41" s="14"/>
      <c r="C41" s="15"/>
      <c r="D41" s="15"/>
      <c r="E41" s="14"/>
      <c r="F41" s="14"/>
      <c r="G41" s="14"/>
      <c r="H41" s="14"/>
      <c r="I41" s="16"/>
      <c r="J41" s="14"/>
      <c r="K41" s="14"/>
      <c r="L41" s="14" t="str">
        <f t="shared" si="2"/>
        <v/>
      </c>
    </row>
    <row r="42" spans="1:12" ht="15.75" x14ac:dyDescent="0.3">
      <c r="A42" s="14"/>
      <c r="B42" s="14"/>
      <c r="C42" s="15"/>
      <c r="D42" s="15"/>
      <c r="E42" s="14"/>
      <c r="F42" s="14"/>
      <c r="G42" s="14"/>
      <c r="H42" s="14"/>
      <c r="I42" s="16"/>
      <c r="J42" s="14"/>
      <c r="K42" s="14"/>
      <c r="L42" s="14" t="str">
        <f t="shared" si="2"/>
        <v/>
      </c>
    </row>
    <row r="43" spans="1:12" ht="15.75" x14ac:dyDescent="0.3">
      <c r="A43" s="14"/>
      <c r="B43" s="14"/>
      <c r="C43" s="15"/>
      <c r="D43" s="15"/>
      <c r="E43" s="14"/>
      <c r="F43" s="14"/>
      <c r="G43" s="14"/>
      <c r="H43" s="14"/>
      <c r="I43" s="16"/>
      <c r="J43" s="14"/>
      <c r="K43" s="14"/>
      <c r="L43" s="14" t="str">
        <f t="shared" si="2"/>
        <v/>
      </c>
    </row>
    <row r="44" spans="1:12" ht="15.75" x14ac:dyDescent="0.3">
      <c r="A44" s="14"/>
      <c r="B44" s="14"/>
      <c r="C44" s="15"/>
      <c r="D44" s="15"/>
      <c r="E44" s="14"/>
      <c r="F44" s="14"/>
      <c r="G44" s="14"/>
      <c r="H44" s="14"/>
      <c r="I44" s="16"/>
      <c r="J44" s="14"/>
      <c r="K44" s="14"/>
      <c r="L44" s="14" t="str">
        <f t="shared" si="2"/>
        <v/>
      </c>
    </row>
    <row r="45" spans="1:12" ht="15.75" x14ac:dyDescent="0.3">
      <c r="A45" s="14"/>
      <c r="B45" s="14"/>
      <c r="C45" s="15"/>
      <c r="D45" s="15"/>
      <c r="E45" s="14"/>
      <c r="F45" s="14"/>
      <c r="G45" s="14"/>
      <c r="H45" s="14"/>
      <c r="I45" s="16"/>
      <c r="J45" s="14"/>
      <c r="K45" s="14"/>
      <c r="L45" s="14" t="str">
        <f t="shared" si="2"/>
        <v/>
      </c>
    </row>
    <row r="46" spans="1:12" ht="15.75" x14ac:dyDescent="0.3">
      <c r="A46" s="14"/>
      <c r="B46" s="14"/>
      <c r="C46" s="15"/>
      <c r="D46" s="15"/>
      <c r="E46" s="14"/>
      <c r="F46" s="14"/>
      <c r="G46" s="14"/>
      <c r="H46" s="14"/>
      <c r="I46" s="16"/>
      <c r="J46" s="14"/>
      <c r="K46" s="14"/>
      <c r="L46" s="14" t="str">
        <f t="shared" si="2"/>
        <v/>
      </c>
    </row>
    <row r="47" spans="1:12" ht="15.75" x14ac:dyDescent="0.3">
      <c r="A47" s="14"/>
      <c r="B47" s="14"/>
      <c r="C47" s="15"/>
      <c r="D47" s="15"/>
      <c r="E47" s="14"/>
      <c r="F47" s="14"/>
      <c r="G47" s="14"/>
      <c r="H47" s="14"/>
      <c r="I47" s="16"/>
      <c r="J47" s="14"/>
      <c r="K47" s="14"/>
      <c r="L47" s="14" t="str">
        <f t="shared" si="2"/>
        <v/>
      </c>
    </row>
    <row r="48" spans="1:12" ht="15.75" x14ac:dyDescent="0.3">
      <c r="A48" s="14"/>
      <c r="B48" s="14"/>
      <c r="C48" s="15"/>
      <c r="D48" s="15"/>
      <c r="E48" s="14"/>
      <c r="F48" s="14"/>
      <c r="G48" s="14"/>
      <c r="H48" s="14"/>
      <c r="I48" s="16"/>
      <c r="J48" s="14"/>
      <c r="K48" s="14"/>
      <c r="L48" s="14" t="str">
        <f t="shared" si="2"/>
        <v/>
      </c>
    </row>
    <row r="49" spans="1:12" ht="15.75" x14ac:dyDescent="0.3">
      <c r="A49" s="14"/>
      <c r="B49" s="14"/>
      <c r="C49" s="15"/>
      <c r="D49" s="15"/>
      <c r="E49" s="14"/>
      <c r="F49" s="14"/>
      <c r="G49" s="14"/>
      <c r="H49" s="14"/>
      <c r="I49" s="16"/>
      <c r="J49" s="14"/>
      <c r="K49" s="14"/>
      <c r="L49" s="14" t="str">
        <f t="shared" si="2"/>
        <v/>
      </c>
    </row>
    <row r="50" spans="1:12" ht="15.75" x14ac:dyDescent="0.3">
      <c r="A50" s="14"/>
      <c r="B50" s="14"/>
      <c r="C50" s="15"/>
      <c r="D50" s="15"/>
      <c r="E50" s="14"/>
      <c r="F50" s="14"/>
      <c r="G50" s="14"/>
      <c r="H50" s="14"/>
      <c r="I50" s="16"/>
      <c r="J50" s="14"/>
      <c r="K50" s="14"/>
      <c r="L50" s="14" t="str">
        <f t="shared" si="2"/>
        <v/>
      </c>
    </row>
    <row r="51" spans="1:12" ht="15.75" x14ac:dyDescent="0.3">
      <c r="A51" s="14"/>
      <c r="B51" s="14"/>
      <c r="C51" s="15"/>
      <c r="D51" s="15"/>
      <c r="E51" s="14"/>
      <c r="F51" s="14"/>
      <c r="G51" s="14"/>
      <c r="H51" s="14"/>
      <c r="I51" s="16"/>
      <c r="J51" s="14"/>
      <c r="K51" s="14"/>
      <c r="L51" s="14" t="str">
        <f t="shared" si="2"/>
        <v/>
      </c>
    </row>
    <row r="52" spans="1:12" ht="15.75" x14ac:dyDescent="0.3">
      <c r="A52" s="14"/>
      <c r="B52" s="14"/>
      <c r="C52" s="15"/>
      <c r="D52" s="15"/>
      <c r="E52" s="14"/>
      <c r="F52" s="14"/>
      <c r="G52" s="14"/>
      <c r="H52" s="14"/>
      <c r="I52" s="16"/>
      <c r="J52" s="14"/>
      <c r="K52" s="14"/>
      <c r="L52" s="14" t="str">
        <f t="shared" si="2"/>
        <v/>
      </c>
    </row>
    <row r="53" spans="1:12" ht="15.75" x14ac:dyDescent="0.3">
      <c r="A53" s="14"/>
      <c r="B53" s="14"/>
      <c r="C53" s="15"/>
      <c r="D53" s="15"/>
      <c r="E53" s="14"/>
      <c r="F53" s="14"/>
      <c r="G53" s="14"/>
      <c r="H53" s="14"/>
      <c r="I53" s="16"/>
      <c r="J53" s="14"/>
      <c r="K53" s="14"/>
      <c r="L53" s="14" t="str">
        <f t="shared" si="2"/>
        <v/>
      </c>
    </row>
    <row r="54" spans="1:12" ht="15.75" x14ac:dyDescent="0.3">
      <c r="A54" s="14"/>
      <c r="B54" s="14"/>
      <c r="C54" s="15"/>
      <c r="D54" s="15"/>
      <c r="E54" s="14"/>
      <c r="F54" s="14"/>
      <c r="G54" s="14"/>
      <c r="H54" s="14"/>
      <c r="I54" s="16"/>
      <c r="J54" s="14"/>
      <c r="K54" s="14"/>
      <c r="L54" s="14" t="str">
        <f t="shared" si="2"/>
        <v/>
      </c>
    </row>
    <row r="55" spans="1:12" ht="15.75" x14ac:dyDescent="0.3">
      <c r="A55" s="14"/>
      <c r="B55" s="14"/>
      <c r="C55" s="15"/>
      <c r="D55" s="15"/>
      <c r="E55" s="14"/>
      <c r="F55" s="14"/>
      <c r="G55" s="14"/>
      <c r="H55" s="14"/>
      <c r="I55" s="16"/>
      <c r="J55" s="14"/>
      <c r="K55" s="14"/>
      <c r="L55" s="14" t="str">
        <f t="shared" si="2"/>
        <v/>
      </c>
    </row>
    <row r="56" spans="1:12" ht="15.75" x14ac:dyDescent="0.3">
      <c r="A56" s="14"/>
      <c r="B56" s="14"/>
      <c r="C56" s="15"/>
      <c r="D56" s="15"/>
      <c r="E56" s="14"/>
      <c r="F56" s="14"/>
      <c r="G56" s="14"/>
      <c r="H56" s="14"/>
      <c r="I56" s="16"/>
      <c r="J56" s="14"/>
      <c r="K56" s="14"/>
      <c r="L56" s="14" t="str">
        <f t="shared" si="2"/>
        <v/>
      </c>
    </row>
    <row r="57" spans="1:12" ht="15.75" x14ac:dyDescent="0.3">
      <c r="A57" s="14"/>
      <c r="B57" s="14"/>
      <c r="C57" s="15"/>
      <c r="D57" s="15"/>
      <c r="E57" s="14"/>
      <c r="F57" s="14"/>
      <c r="G57" s="14"/>
      <c r="H57" s="14"/>
      <c r="I57" s="16"/>
      <c r="J57" s="14"/>
      <c r="K57" s="14"/>
      <c r="L57" s="14" t="str">
        <f t="shared" si="2"/>
        <v/>
      </c>
    </row>
    <row r="58" spans="1:12" ht="15.75" x14ac:dyDescent="0.3">
      <c r="A58" s="14"/>
      <c r="B58" s="14"/>
      <c r="C58" s="15"/>
      <c r="D58" s="15"/>
      <c r="E58" s="14"/>
      <c r="F58" s="14"/>
      <c r="G58" s="14"/>
      <c r="H58" s="14"/>
      <c r="I58" s="16"/>
      <c r="J58" s="14"/>
      <c r="K58" s="14"/>
      <c r="L58" s="14" t="str">
        <f t="shared" si="2"/>
        <v/>
      </c>
    </row>
    <row r="59" spans="1:12" ht="15.75" x14ac:dyDescent="0.3">
      <c r="A59" s="14"/>
      <c r="B59" s="14"/>
      <c r="C59" s="15"/>
      <c r="D59" s="15"/>
      <c r="E59" s="14"/>
      <c r="F59" s="14"/>
      <c r="G59" s="14"/>
      <c r="H59" s="14"/>
      <c r="I59" s="16"/>
      <c r="J59" s="14"/>
      <c r="K59" s="14"/>
      <c r="L59" s="14" t="str">
        <f t="shared" si="2"/>
        <v/>
      </c>
    </row>
    <row r="60" spans="1:12" ht="15.75" x14ac:dyDescent="0.3">
      <c r="A60" s="14"/>
      <c r="B60" s="14"/>
      <c r="C60" s="15"/>
      <c r="D60" s="15"/>
      <c r="E60" s="14"/>
      <c r="F60" s="14"/>
      <c r="G60" s="14"/>
      <c r="H60" s="14"/>
      <c r="I60" s="16"/>
      <c r="J60" s="14"/>
      <c r="K60" s="14"/>
      <c r="L60" s="14" t="str">
        <f t="shared" si="2"/>
        <v/>
      </c>
    </row>
    <row r="61" spans="1:12" ht="15.75" x14ac:dyDescent="0.3">
      <c r="A61" s="14"/>
      <c r="B61" s="14"/>
      <c r="C61" s="15"/>
      <c r="D61" s="15"/>
      <c r="E61" s="14"/>
      <c r="F61" s="14"/>
      <c r="G61" s="14"/>
      <c r="H61" s="14"/>
      <c r="I61" s="16"/>
      <c r="J61" s="14"/>
      <c r="K61" s="14"/>
      <c r="L61" s="14" t="str">
        <f t="shared" si="2"/>
        <v/>
      </c>
    </row>
    <row r="62" spans="1:12" ht="15.75" x14ac:dyDescent="0.3">
      <c r="A62" s="14"/>
      <c r="B62" s="14"/>
      <c r="C62" s="15"/>
      <c r="D62" s="15"/>
      <c r="E62" s="14"/>
      <c r="F62" s="14"/>
      <c r="G62" s="14"/>
      <c r="H62" s="14"/>
      <c r="I62" s="16"/>
      <c r="J62" s="14"/>
      <c r="K62" s="14"/>
      <c r="L62" s="14" t="str">
        <f t="shared" si="2"/>
        <v/>
      </c>
    </row>
    <row r="63" spans="1:12" ht="15.75" x14ac:dyDescent="0.3">
      <c r="A63" s="14"/>
      <c r="B63" s="14"/>
      <c r="C63" s="15"/>
      <c r="D63" s="15"/>
      <c r="E63" s="14"/>
      <c r="F63" s="14"/>
      <c r="G63" s="14"/>
      <c r="H63" s="14"/>
      <c r="I63" s="16"/>
      <c r="J63" s="14"/>
      <c r="K63" s="14"/>
      <c r="L63" s="14" t="str">
        <f t="shared" si="2"/>
        <v/>
      </c>
    </row>
    <row r="65" spans="1:1" x14ac:dyDescent="0.25">
      <c r="A65" s="7" t="s">
        <v>49</v>
      </c>
    </row>
  </sheetData>
  <autoFilter ref="A4:L63" xr:uid="{00000000-0009-0000-0000-000001000000}"/>
  <mergeCells count="2">
    <mergeCell ref="A2:L2"/>
    <mergeCell ref="A1:L1"/>
  </mergeCells>
  <conditionalFormatting sqref="G5:G63">
    <cfRule type="expression" dxfId="2" priority="1">
      <formula>$G5="High"</formula>
    </cfRule>
  </conditionalFormatting>
  <conditionalFormatting sqref="H5:H63">
    <cfRule type="expression" dxfId="1" priority="2">
      <formula>$H5="Confirmed"</formula>
    </cfRule>
    <cfRule type="expression" dxfId="0" priority="3">
      <formula>$H5="Cancelled"</formula>
    </cfRule>
  </conditionalFormatting>
  <dataValidations count="3">
    <dataValidation type="list" allowBlank="1" sqref="B5:B63" xr:uid="{00000000-0002-0000-0100-000000000000}">
      <formula1>"Trade Show,Product Launch,Content Shoot,Campaign Launch,Promotion/Sale,Ambassador/Partnership,Seasonal,Other"</formula1>
    </dataValidation>
    <dataValidation type="list" allowBlank="1" sqref="G5:G63" xr:uid="{00000000-0002-0000-0100-000001000000}">
      <formula1>"High,Medium,Low"</formula1>
    </dataValidation>
    <dataValidation type="list" allowBlank="1" sqref="H5:H63" xr:uid="{00000000-0002-0000-0100-000002000000}">
      <formula1>"Idea,Planned,Confirmed,In Progress,Complete,Cancelled"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763C"/>
  </sheetPr>
  <dimension ref="A1:C16"/>
  <sheetViews>
    <sheetView showGridLines="0" workbookViewId="0">
      <selection sqref="A1:C1"/>
    </sheetView>
  </sheetViews>
  <sheetFormatPr defaultRowHeight="15" x14ac:dyDescent="0.25"/>
  <cols>
    <col min="1" max="1" width="16" customWidth="1"/>
    <col min="2" max="2" width="12" customWidth="1"/>
    <col min="3" max="3" width="16" customWidth="1"/>
  </cols>
  <sheetData>
    <row r="1" spans="1:3" ht="33.950000000000003" customHeight="1" x14ac:dyDescent="0.25">
      <c r="A1" s="20" t="s">
        <v>50</v>
      </c>
      <c r="B1" s="18"/>
      <c r="C1" s="18"/>
    </row>
    <row r="2" spans="1:3" ht="3.95" customHeight="1" x14ac:dyDescent="0.25">
      <c r="A2" s="1"/>
      <c r="B2" s="1"/>
      <c r="C2" s="1"/>
    </row>
    <row r="3" spans="1:3" ht="16.5" x14ac:dyDescent="0.3">
      <c r="A3" s="8" t="s">
        <v>51</v>
      </c>
      <c r="B3" s="8" t="s">
        <v>52</v>
      </c>
      <c r="C3" s="8" t="s">
        <v>53</v>
      </c>
    </row>
    <row r="4" spans="1:3" ht="15.75" x14ac:dyDescent="0.3">
      <c r="A4" s="6" t="s">
        <v>54</v>
      </c>
      <c r="B4" s="9">
        <f>COUNTIF('2027 Events'!$L$6:$L$63,1)</f>
        <v>0</v>
      </c>
      <c r="C4" s="10">
        <f>SUMIFS('2027 Events'!$I$6:$I$63,'2027 Events'!$L$6:$L$63,1)</f>
        <v>0</v>
      </c>
    </row>
    <row r="5" spans="1:3" ht="15.75" x14ac:dyDescent="0.3">
      <c r="A5" s="6" t="s">
        <v>55</v>
      </c>
      <c r="B5" s="9">
        <f>COUNTIF('2027 Events'!$L$6:$L$63,2)</f>
        <v>0</v>
      </c>
      <c r="C5" s="10">
        <f>SUMIFS('2027 Events'!$I$6:$I$63,'2027 Events'!$L$6:$L$63,2)</f>
        <v>0</v>
      </c>
    </row>
    <row r="6" spans="1:3" ht="15.75" x14ac:dyDescent="0.3">
      <c r="A6" s="6" t="s">
        <v>56</v>
      </c>
      <c r="B6" s="9">
        <f>COUNTIF('2027 Events'!$L$6:$L$63,3)</f>
        <v>1</v>
      </c>
      <c r="C6" s="10">
        <f>SUMIFS('2027 Events'!$I$6:$I$63,'2027 Events'!$L$6:$L$63,3)</f>
        <v>0</v>
      </c>
    </row>
    <row r="7" spans="1:3" ht="15.75" x14ac:dyDescent="0.3">
      <c r="A7" s="6" t="s">
        <v>57</v>
      </c>
      <c r="B7" s="9">
        <f>COUNTIF('2027 Events'!$L$6:$L$63,4)</f>
        <v>0</v>
      </c>
      <c r="C7" s="10">
        <f>SUMIFS('2027 Events'!$I$6:$I$63,'2027 Events'!$L$6:$L$63,4)</f>
        <v>0</v>
      </c>
    </row>
    <row r="8" spans="1:3" ht="15.75" x14ac:dyDescent="0.3">
      <c r="A8" s="6" t="s">
        <v>58</v>
      </c>
      <c r="B8" s="9">
        <f>COUNTIF('2027 Events'!$L$6:$L$63,5)</f>
        <v>1</v>
      </c>
      <c r="C8" s="10">
        <f>SUMIFS('2027 Events'!$I$6:$I$63,'2027 Events'!$L$6:$L$63,5)</f>
        <v>0</v>
      </c>
    </row>
    <row r="9" spans="1:3" ht="15.75" x14ac:dyDescent="0.3">
      <c r="A9" s="6" t="s">
        <v>59</v>
      </c>
      <c r="B9" s="9">
        <f>COUNTIF('2027 Events'!$L$6:$L$63,6)</f>
        <v>1</v>
      </c>
      <c r="C9" s="10">
        <f>SUMIFS('2027 Events'!$I$6:$I$63,'2027 Events'!$L$6:$L$63,6)</f>
        <v>0</v>
      </c>
    </row>
    <row r="10" spans="1:3" ht="15.75" x14ac:dyDescent="0.3">
      <c r="A10" s="6" t="s">
        <v>60</v>
      </c>
      <c r="B10" s="9">
        <f>COUNTIF('2027 Events'!$L$6:$L$63,7)</f>
        <v>0</v>
      </c>
      <c r="C10" s="10">
        <f>SUMIFS('2027 Events'!$I$6:$I$63,'2027 Events'!$L$6:$L$63,7)</f>
        <v>0</v>
      </c>
    </row>
    <row r="11" spans="1:3" ht="15.75" x14ac:dyDescent="0.3">
      <c r="A11" s="6" t="s">
        <v>61</v>
      </c>
      <c r="B11" s="9">
        <f>COUNTIF('2027 Events'!$L$6:$L$63,8)</f>
        <v>0</v>
      </c>
      <c r="C11" s="10">
        <f>SUMIFS('2027 Events'!$I$6:$I$63,'2027 Events'!$L$6:$L$63,8)</f>
        <v>0</v>
      </c>
    </row>
    <row r="12" spans="1:3" ht="15.75" x14ac:dyDescent="0.3">
      <c r="A12" s="6" t="s">
        <v>62</v>
      </c>
      <c r="B12" s="9">
        <f>COUNTIF('2027 Events'!$L$6:$L$63,9)</f>
        <v>0</v>
      </c>
      <c r="C12" s="10">
        <f>SUMIFS('2027 Events'!$I$6:$I$63,'2027 Events'!$L$6:$L$63,9)</f>
        <v>0</v>
      </c>
    </row>
    <row r="13" spans="1:3" ht="15.75" x14ac:dyDescent="0.3">
      <c r="A13" s="6" t="s">
        <v>63</v>
      </c>
      <c r="B13" s="9">
        <f>COUNTIF('2027 Events'!$L$6:$L$63,10)</f>
        <v>0</v>
      </c>
      <c r="C13" s="10">
        <f>SUMIFS('2027 Events'!$I$6:$I$63,'2027 Events'!$L$6:$L$63,10)</f>
        <v>0</v>
      </c>
    </row>
    <row r="14" spans="1:3" ht="15.75" x14ac:dyDescent="0.3">
      <c r="A14" s="6" t="s">
        <v>64</v>
      </c>
      <c r="B14" s="9">
        <f>COUNTIF('2027 Events'!$L$6:$L$63,11)</f>
        <v>0</v>
      </c>
      <c r="C14" s="10">
        <f>SUMIFS('2027 Events'!$I$6:$I$63,'2027 Events'!$L$6:$L$63,11)</f>
        <v>0</v>
      </c>
    </row>
    <row r="15" spans="1:3" ht="15.75" x14ac:dyDescent="0.3">
      <c r="A15" s="6" t="s">
        <v>65</v>
      </c>
      <c r="B15" s="9">
        <f>COUNTIF('2027 Events'!$L$6:$L$63,12)</f>
        <v>0</v>
      </c>
      <c r="C15" s="10">
        <f>SUMIFS('2027 Events'!$I$6:$I$63,'2027 Events'!$L$6:$L$63,12)</f>
        <v>0</v>
      </c>
    </row>
    <row r="16" spans="1:3" ht="16.5" x14ac:dyDescent="0.3">
      <c r="A16" s="11" t="s">
        <v>66</v>
      </c>
      <c r="B16" s="12">
        <f>SUM(B4:B15)</f>
        <v>3</v>
      </c>
      <c r="C16" s="13">
        <f>SUM(C4:C15)</f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2027 Events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Fitzgerald</cp:lastModifiedBy>
  <dcterms:created xsi:type="dcterms:W3CDTF">2026-09-25T06:22:53Z</dcterms:created>
  <dcterms:modified xsi:type="dcterms:W3CDTF">2026-10-07T07:07:26Z</dcterms:modified>
</cp:coreProperties>
</file>