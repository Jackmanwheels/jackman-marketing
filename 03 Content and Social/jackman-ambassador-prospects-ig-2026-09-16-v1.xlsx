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0"/>
  <workbookPr filterPrivacy="1"/>
  <xr:revisionPtr revIDLastSave="0" documentId="14_{7BA0058C-5DD6-4F87-A0CA-0D85E6C9BA99}" xr6:coauthVersionLast="47" xr6:coauthVersionMax="47" xr10:uidLastSave="{00000000-0000-0000-0000-000000000000}"/>
  <bookViews>
    <workbookView xWindow="-165" yWindow="-165" windowWidth="29130" windowHeight="15810" firstSheet="1" activeTab="1" xr2:uid="{00000000-000D-0000-FFFF-FFFF00000000}"/>
  </bookViews>
  <sheets>
    <sheet name="How to Use" sheetId="1" r:id="rId1"/>
    <sheet name="Prospects" sheetId="2" r:id="rId2"/>
    <sheet name="Scoring Model" sheetId="3" r:id="rId3"/>
    <sheet name="Shop and Dealer Leads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I37" i="2"/>
  <c r="B37" i="2"/>
  <c r="A37" i="2" s="1"/>
  <c r="I36" i="2"/>
  <c r="B36" i="2" s="1"/>
  <c r="A36" i="2" s="1"/>
  <c r="I35" i="2"/>
  <c r="B35" i="2" s="1"/>
  <c r="A35" i="2" s="1"/>
  <c r="I34" i="2"/>
  <c r="B34" i="2" s="1"/>
  <c r="A34" i="2" s="1"/>
  <c r="I33" i="2"/>
  <c r="B33" i="2" s="1"/>
  <c r="A33" i="2" s="1"/>
  <c r="I32" i="2"/>
  <c r="B32" i="2" s="1"/>
  <c r="A32" i="2" s="1"/>
  <c r="I31" i="2"/>
  <c r="B31" i="2" s="1"/>
  <c r="A31" i="2" s="1"/>
  <c r="I30" i="2"/>
  <c r="B30" i="2" s="1"/>
  <c r="A30" i="2" s="1"/>
  <c r="I29" i="2"/>
  <c r="B29" i="2" s="1"/>
  <c r="A29" i="2" s="1"/>
  <c r="I28" i="2"/>
  <c r="B28" i="2" s="1"/>
  <c r="A28" i="2" s="1"/>
  <c r="I27" i="2"/>
  <c r="B27" i="2" s="1"/>
  <c r="A27" i="2" s="1"/>
  <c r="I26" i="2"/>
  <c r="B26" i="2" s="1"/>
  <c r="A26" i="2" s="1"/>
  <c r="I25" i="2"/>
  <c r="B25" i="2"/>
  <c r="A25" i="2" s="1"/>
  <c r="I24" i="2"/>
  <c r="B24" i="2" s="1"/>
  <c r="A24" i="2" s="1"/>
  <c r="I23" i="2"/>
  <c r="B23" i="2"/>
  <c r="A23" i="2" s="1"/>
  <c r="I22" i="2"/>
  <c r="B22" i="2" s="1"/>
  <c r="A22" i="2" s="1"/>
  <c r="I21" i="2"/>
  <c r="B21" i="2"/>
  <c r="A21" i="2" s="1"/>
  <c r="I20" i="2"/>
  <c r="B20" i="2" s="1"/>
  <c r="A20" i="2" s="1"/>
  <c r="I19" i="2"/>
  <c r="B19" i="2" s="1"/>
  <c r="A19" i="2" s="1"/>
  <c r="I18" i="2"/>
  <c r="B18" i="2" s="1"/>
  <c r="A18" i="2" s="1"/>
  <c r="I17" i="2"/>
  <c r="B17" i="2"/>
  <c r="A17" i="2" s="1"/>
  <c r="I16" i="2"/>
  <c r="B16" i="2" s="1"/>
  <c r="A16" i="2" s="1"/>
  <c r="I15" i="2"/>
  <c r="B15" i="2" s="1"/>
  <c r="A15" i="2" s="1"/>
  <c r="I14" i="2"/>
  <c r="B14" i="2"/>
  <c r="A14" i="2" s="1"/>
  <c r="I13" i="2"/>
  <c r="B13" i="2" s="1"/>
  <c r="A13" i="2" s="1"/>
  <c r="I12" i="2"/>
  <c r="B12" i="2"/>
  <c r="A12" i="2" s="1"/>
  <c r="I11" i="2"/>
  <c r="B11" i="2"/>
  <c r="A11" i="2" s="1"/>
  <c r="I10" i="2"/>
  <c r="B10" i="2" s="1"/>
  <c r="A10" i="2" s="1"/>
  <c r="I9" i="2"/>
  <c r="B9" i="2" s="1"/>
  <c r="A9" i="2" s="1"/>
  <c r="I8" i="2"/>
  <c r="B8" i="2" s="1"/>
  <c r="A8" i="2" s="1"/>
  <c r="I7" i="2"/>
  <c r="B7" i="2"/>
  <c r="A7" i="2" s="1"/>
  <c r="I6" i="2"/>
  <c r="B6" i="2" s="1"/>
  <c r="A6" i="2" s="1"/>
  <c r="I5" i="2"/>
  <c r="B5" i="2"/>
  <c r="A5" i="2" s="1"/>
  <c r="I4" i="2"/>
  <c r="B4" i="2" s="1"/>
  <c r="A4" i="2" s="1"/>
  <c r="I3" i="2"/>
  <c r="B3" i="2" s="1"/>
  <c r="A3" i="2" s="1"/>
  <c r="I2" i="2"/>
  <c r="B2" i="2" s="1"/>
  <c r="A2" i="2" s="1"/>
</calcChain>
</file>

<file path=xl/sharedStrings.xml><?xml version="1.0" encoding="utf-8"?>
<sst xmlns="http://schemas.openxmlformats.org/spreadsheetml/2006/main" count="542" uniqueCount="409">
  <si>
    <t>Jackman Wheels - Instagram Ambassador Prospects</t>
  </si>
  <si>
    <t>Built 2026-09-16  |  Austin Fitzgerald  |  v1</t>
  </si>
  <si>
    <t>The brief you set</t>
  </si>
  <si>
    <t>Nationwide. 5,000-25,000 followers. Overland and expedition builds. Found by browsing Instagram directly.</t>
  </si>
  <si>
    <t>Seeded from the two accounts you supplied: @campygilmore and @22protaco.</t>
  </si>
  <si>
    <t>What is in here</t>
  </si>
  <si>
    <t>Prospects - 36 accounts. Every follower count and bio was read off the live profile on 2026-09-16.</t>
  </si>
  <si>
    <t>Scoring Model - the weights behind the Fit Score. Change a number there and the whole sheet re-ranks.</t>
  </si>
  <si>
    <t>Shop and Dealer Leads - 7 shops that surfaced in the same search. They sell wheels, so they are dealer pipeline.</t>
  </si>
  <si>
    <t>How to read the Fit Score</t>
  </si>
  <si>
    <t>0-100. Built from tier fit, authority ratio, SoCal reach, whether their feed actually shows wheels,</t>
  </si>
  <si>
    <t>whether they have done brand work before, minus a penalty if they already run a competing wheel brand.</t>
  </si>
  <si>
    <t>A = contact first (75+).   B = second wave (55-74).   C = watchlist (35-54).   D = not now (under 35).</t>
  </si>
  <si>
    <t>The score ranks the list. It does not make the decision - read the Notes column before you write to anyone.</t>
  </si>
  <si>
    <t>Columns you fill in (the yellow ones)</t>
  </si>
  <si>
    <t>Outreach Status, Date Contacted, Response. Everything else is observed data or a formula.</t>
  </si>
  <si>
    <t>Example of the format expected in those columns</t>
  </si>
  <si>
    <t>Outreach Status</t>
  </si>
  <si>
    <t>Date Contacted</t>
  </si>
  <si>
    <t>Response</t>
  </si>
  <si>
    <t>DM sent</t>
  </si>
  <si>
    <t>2026-09-18</t>
  </si>
  <si>
    <t>Replied - wants spec sheet</t>
  </si>
  <si>
    <t>Honest limits of this list</t>
  </si>
  <si>
    <t>Follower counts drift daily. This is a single-day snapshot - re-check before any paid negotiation.</t>
  </si>
  <si>
    <t>Engagement rate is NOT in here. Instagram does not expose likes-per-post publicly in a way I could read at scale,</t>
  </si>
  <si>
    <t>and at this tier engagement matters more than follower count. Spot-check your A-list by hand before committing budget.</t>
  </si>
  <si>
    <t>Location is blank where the bio did not state one. I did not guess it from post backgrounds.</t>
  </si>
  <si>
    <t>Sponsor lists come from bios and highlight names, so they are indicative, not contractual. Ask directly about exclusivity.</t>
  </si>
  <si>
    <t>This is a first pass grown from two seed accounts. The same method extends much further if you want a bigger pool.</t>
  </si>
  <si>
    <t>What I would do with it</t>
  </si>
  <si>
    <t>1. Start with the A-list, and inside it start with the SoCal names. Off-Road Expo is Oct 3-4 at the OC Fair Center,</t>
  </si>
  <si>
    <t xml:space="preserve">   and an ambassador who can stand at your booth is worth more right now than a bigger account three states away.</t>
  </si>
  <si>
    <t>2. Your two seeds already follow each other and the same people. That cluster is a scene, not a list.</t>
  </si>
  <si>
    <t xml:space="preserve">   Signing two or three of them visibly is worth more than signing eight strangers.</t>
  </si>
  <si>
    <t>3. Notice how many run Nitto Pit Crew. Tires do not compete with wheels - that is a complementary sponsor, not a blocker.</t>
  </si>
  <si>
    <t xml:space="preserve">   Exactly one account here has a genuine wheel conflict, and it is flagged.</t>
  </si>
  <si>
    <t>4. Your playbook says UGC in the grid is a Collab, never a re-upload, and permission gets screenshotted and filed.</t>
  </si>
  <si>
    <t xml:space="preserve">   Put that in the ambassador agreement, not in the DM.</t>
  </si>
  <si>
    <t>Priority</t>
  </si>
  <si>
    <t>Fit Score</t>
  </si>
  <si>
    <t>Handle</t>
  </si>
  <si>
    <t>Name</t>
  </si>
  <si>
    <t>Profile URL</t>
  </si>
  <si>
    <t>Followers</t>
  </si>
  <si>
    <t>Following</t>
  </si>
  <si>
    <t>Posts</t>
  </si>
  <si>
    <t>Ratio</t>
  </si>
  <si>
    <t>Location</t>
  </si>
  <si>
    <t>Vehicle / Platform</t>
  </si>
  <si>
    <t>Wheels</t>
  </si>
  <si>
    <t>Content Type</t>
  </si>
  <si>
    <t>Existing Sponsors</t>
  </si>
  <si>
    <t>SoCal / Expo</t>
  </si>
  <si>
    <t>Wheel-Forward</t>
  </si>
  <si>
    <t>Proven Ambsdr</t>
  </si>
  <si>
    <t>Wheel Conflict</t>
  </si>
  <si>
    <t>Contact / Link</t>
  </si>
  <si>
    <t>Found Via</t>
  </si>
  <si>
    <t>Notes</t>
  </si>
  <si>
    <t>yotawolf89</t>
  </si>
  <si>
    <t>Bryan Bell</t>
  </si>
  <si>
    <t>https://www.instagram.com/yotawolf89/</t>
  </si>
  <si>
    <t>San Diego, CA</t>
  </si>
  <si>
    <t>Toyota (shoots for others)</t>
  </si>
  <si>
    <t>Raceline</t>
  </si>
  <si>
    <t>Photographer</t>
  </si>
  <si>
    <t>Nitto Tire; Nitto Pit Crew; Diamondback Covers</t>
  </si>
  <si>
    <t/>
  </si>
  <si>
    <t>campygilmore chain</t>
  </si>
  <si>
    <t>Photographer, not just an owner. 45:1 follower/following ratio. Could shoot catalog work AND post it.</t>
  </si>
  <si>
    <t>groovyrunner.gx</t>
  </si>
  <si>
    <t>W I L L</t>
  </si>
  <si>
    <t>https://www.instagram.com/groovyrunner.gx/</t>
  </si>
  <si>
    <t>Orange County, CA</t>
  </si>
  <si>
    <t>2017 4Runner TRD Pro + 2025 Lexus GX550 Overtrail</t>
  </si>
  <si>
    <t>Rays</t>
  </si>
  <si>
    <t>Builds / overland</t>
  </si>
  <si>
    <t>KC HiLites; Nitto Pit Crew; Rago Fab; C4 Fabrication</t>
  </si>
  <si>
    <t>linktr.ee/Groovyrunner</t>
  </si>
  <si>
    <t>Two rigs = two fitments off one relationship. Already on brand teams, knows how deliverables work.</t>
  </si>
  <si>
    <t>Yes</t>
  </si>
  <si>
    <t>22protaco</t>
  </si>
  <si>
    <t>Kevin</t>
  </si>
  <si>
    <t>https://www.instagram.com/22protaco/</t>
  </si>
  <si>
    <t>SoCal</t>
  </si>
  <si>
    <t>Toyota Tacoma TRD Pro</t>
  </si>
  <si>
    <t>Lock Offroad</t>
  </si>
  <si>
    <t>Truck build / desert</t>
  </si>
  <si>
    <t>Your seed</t>
  </si>
  <si>
    <t>Only 56 posts for 12.8K followers - unusually high signal per post. Already shoots wheel close-ups.</t>
  </si>
  <si>
    <t xml:space="preserve">Does not have a specific deal with LOCK Wheels. </t>
  </si>
  <si>
    <t>keepitdirty_offroad</t>
  </si>
  <si>
    <t>Helio Muro</t>
  </si>
  <si>
    <t>https://www.instagram.com/keepitdirty_offroad/</t>
  </si>
  <si>
    <t>2014 Ford Raptor</t>
  </si>
  <si>
    <t>Method</t>
  </si>
  <si>
    <t>DIY / reviews / group runs</t>
  </si>
  <si>
    <t>KC HiLites</t>
  </si>
  <si>
    <t>linktr.ee/heliomuro</t>
  </si>
  <si>
    <t>keepitdirty chain</t>
  </si>
  <si>
    <t>USAF vet, SoCal, organizes group runs. Built-in audience you could physically point at the Expo booth.</t>
  </si>
  <si>
    <t>trdle_pwr</t>
  </si>
  <si>
    <t>Vic</t>
  </si>
  <si>
    <t>https://www.instagram.com/trdle_pwr/</t>
  </si>
  <si>
    <t>2022 4Runner TRD Pro</t>
  </si>
  <si>
    <t>Builds / adventure</t>
  </si>
  <si>
    <t>Openroad 4WD</t>
  </si>
  <si>
    <t>linktr.ee/trdle_pwr</t>
  </si>
  <si>
    <t>22protaco chain</t>
  </si>
  <si>
    <t>OC-based, inside the #toyotasocal network. Strong ratio, consistent poster.</t>
  </si>
  <si>
    <t>ghostpro.la</t>
  </si>
  <si>
    <t>Randy Apigo</t>
  </si>
  <si>
    <t>https://www.instagram.com/ghostpro.la/</t>
  </si>
  <si>
    <t>Los Angeles, CA</t>
  </si>
  <si>
    <t>2026 Tacoma TRD Pro</t>
  </si>
  <si>
    <t>Nitto Tire; KC HiLites</t>
  </si>
  <si>
    <t>randyapigo@live.com</t>
  </si>
  <si>
    <t>soka chain</t>
  </si>
  <si>
    <t>PUBLIC EMAIL IN BIO - the only direct contact found anywhere on this list. LA pro photographer on a brand-new 2026 Tacoma.</t>
  </si>
  <si>
    <t>t4r08</t>
  </si>
  <si>
    <t>Anthony</t>
  </si>
  <si>
    <t>https://www.instagram.com/t4r08/</t>
  </si>
  <si>
    <t>Unknown</t>
  </si>
  <si>
    <t>Toyota 4Runner</t>
  </si>
  <si>
    <t>Reika</t>
  </si>
  <si>
    <t>Truck build</t>
  </si>
  <si>
    <t>Street Outcast; Project X Offroad; Ascend Fabrications</t>
  </si>
  <si>
    <t>Already runs a discount code, so he is set up for an affiliate structure from day one.</t>
  </si>
  <si>
    <t>gt_raptor</t>
  </si>
  <si>
    <t>Pete</t>
  </si>
  <si>
    <t>https://www.instagram.com/gt_raptor/</t>
  </si>
  <si>
    <t>Raptor R; Bronco Raptor; Porsche GT3 RS; Alpina XB7</t>
  </si>
  <si>
    <t>Innov8</t>
  </si>
  <si>
    <t>Performance / luxury</t>
  </si>
  <si>
    <t>Nitto Pit Crew; Nitto Tire</t>
  </si>
  <si>
    <t>zr2chris22 chain</t>
  </si>
  <si>
    <t>High-end garage. Audience skews premium - good for aspirational placement, off-brief if you want trail credibility.</t>
  </si>
  <si>
    <t>campygilmore</t>
  </si>
  <si>
    <t>Jose Fernandez</t>
  </si>
  <si>
    <t>https://www.instagram.com/campygilmore/</t>
  </si>
  <si>
    <t>2024 Toyota Tacoma</t>
  </si>
  <si>
    <t>Stealth</t>
  </si>
  <si>
    <t>Overland / camping / fishing</t>
  </si>
  <si>
    <t>linktr.ee/campygilmore</t>
  </si>
  <si>
    <t>Your seed pick, and a genuinely good one. You already follow him. OC-based, clean expedition content.</t>
  </si>
  <si>
    <t>familycruiser250</t>
  </si>
  <si>
    <t>Ryan Medes</t>
  </si>
  <si>
    <t>https://www.instagram.com/familycruiser250/</t>
  </si>
  <si>
    <t>Toyota Land Cruiser LC250</t>
  </si>
  <si>
    <t>Black Rhino</t>
  </si>
  <si>
    <t>Overland / family / photography</t>
  </si>
  <si>
    <t>Club Two Fifty community</t>
  </si>
  <si>
    <t>linktr.ee/familycruiser250</t>
  </si>
  <si>
    <t>Bio says DM for content - he already sells content services, so pricing will be a real conversation. LC250 is a fresh platform.</t>
  </si>
  <si>
    <t xml:space="preserve">Can't make ORE. Willing to work after the show. </t>
  </si>
  <si>
    <t>zr2chris22</t>
  </si>
  <si>
    <t>ZR2Chris</t>
  </si>
  <si>
    <t>https://www.instagram.com/zr2chris22/</t>
  </si>
  <si>
    <t>2022 Chevy Silverado ZR2</t>
  </si>
  <si>
    <t>KMC</t>
  </si>
  <si>
    <t>Off-road / builds</t>
  </si>
  <si>
    <t>zr2 search</t>
  </si>
  <si>
    <t>Owns @foosgonewheeling - brings a group, not just an account. Best Chevy option inside the tier.</t>
  </si>
  <si>
    <t>lunar_sas.t4r</t>
  </si>
  <si>
    <t>(no name given)</t>
  </si>
  <si>
    <t>https://www.instagram.com/lunar_sas.t4r/</t>
  </si>
  <si>
    <t>2021 4Runner TRD Pro, solid axle swap</t>
  </si>
  <si>
    <t>Beadlocks</t>
  </si>
  <si>
    <t>Builds / reels</t>
  </si>
  <si>
    <t>linktr.ee/lunar_sas.t4r</t>
  </si>
  <si>
    <t>Solid-axle swap build - extreme fitment, big wheel and tire packages, very wheel-forward.</t>
  </si>
  <si>
    <t>brodi_wodie</t>
  </si>
  <si>
    <t>Kiet Vo</t>
  </si>
  <si>
    <t>https://www.instagram.com/brodi_wodie/</t>
  </si>
  <si>
    <t>Solid axle Toyota / fabrication</t>
  </si>
  <si>
    <t>Fab / builds</t>
  </si>
  <si>
    <t>Nitto Pit Crew</t>
  </si>
  <si>
    <t>thekietco.com</t>
  </si>
  <si>
    <t>lunar chain</t>
  </si>
  <si>
    <t>Owns @thekietco. One relationship could be both an ambassador and a dealer conversation.</t>
  </si>
  <si>
    <t>radmedia.co</t>
  </si>
  <si>
    <t>Matt + Sarah Girgis</t>
  </si>
  <si>
    <t>https://www.instagram.com/radmedia.co/</t>
  </si>
  <si>
    <t>Media production team</t>
  </si>
  <si>
    <t>DV8</t>
  </si>
  <si>
    <t>Photo / video production</t>
  </si>
  <si>
    <t>DV8; Maxxis; KC HiLites; Midland; Baja Kits; Switch-Pros; Roam; Leitner; Decked</t>
  </si>
  <si>
    <t>media-radco.com</t>
  </si>
  <si>
    <t>10+ years adventure media and nine brand partners. Treat as a content vendor as much as an ambassador.</t>
  </si>
  <si>
    <t>kbbqpwr</t>
  </si>
  <si>
    <t>Andrew K</t>
  </si>
  <si>
    <t>https://www.instagram.com/kbbqpwr/</t>
  </si>
  <si>
    <t>2025 Ford F-150 Raptor 802A</t>
  </si>
  <si>
    <t>Truck build / overland</t>
  </si>
  <si>
    <t>Nitto Pit Crew; Nitto Tire; Iceco; Morimoto</t>
  </si>
  <si>
    <t>Ford Raptor coverage. Follows 2,946 against 8,272 followers - the weakest authority signal in the tier.</t>
  </si>
  <si>
    <t>jmd4rnr</t>
  </si>
  <si>
    <t>JM</t>
  </si>
  <si>
    <t>https://www.instagram.com/jmd4rnr/</t>
  </si>
  <si>
    <t>Overland / adventure</t>
  </si>
  <si>
    <t>groovyrunner chain</t>
  </si>
  <si>
    <t>Overland Bound member (OB26063). Strong ratio, high post count, low sponsor load.</t>
  </si>
  <si>
    <t>trailmammoth</t>
  </si>
  <si>
    <t>https://www.instagram.com/trailmammoth/</t>
  </si>
  <si>
    <t>2025 4Runner TRD Off-Road + 2026 Tacoma TRD Off-Road</t>
  </si>
  <si>
    <t>Builds / YouTube</t>
  </si>
  <si>
    <t>youtube.com/@mammoth4runner</t>
  </si>
  <si>
    <t>50:1 follower/following - the best ratio in the tier. Two active builds on the newest platforms.</t>
  </si>
  <si>
    <t>littletruckbigworld</t>
  </si>
  <si>
    <t>LittleTruck</t>
  </si>
  <si>
    <t>https://www.instagram.com/littletruckbigworld/</t>
  </si>
  <si>
    <t>Denver, CO</t>
  </si>
  <si>
    <t>Toyota mini truck, 37s on 4.88</t>
  </si>
  <si>
    <t>youtube.com/@littletruckbigworld</t>
  </si>
  <si>
    <t>Denver market with YouTube crossover. 37s means big wheel packages.</t>
  </si>
  <si>
    <t>1tontoyrunner</t>
  </si>
  <si>
    <t>Bailey B.</t>
  </si>
  <si>
    <t>https://www.instagram.com/1tontoyrunner/</t>
  </si>
  <si>
    <t>1997 4Runner, supercharged, 1-ton SAS</t>
  </si>
  <si>
    <t>Extreme builds</t>
  </si>
  <si>
    <t>Nitto Pit Crew; Nitto; WFO Concepts; R1 Concepts</t>
  </si>
  <si>
    <t>90:1 ratio - the highest authority signal I found anywhere. Only 600 followers over your ceiling.</t>
  </si>
  <si>
    <t>punknking_jt</t>
  </si>
  <si>
    <t>Dave</t>
  </si>
  <si>
    <t>https://www.instagram.com/punknking_jt/</t>
  </si>
  <si>
    <t>Utah</t>
  </si>
  <si>
    <t>Jeep Gladiator JT</t>
  </si>
  <si>
    <t>Nitto Tire; Baja Designs; Lift Threadz</t>
  </si>
  <si>
    <t>liftthreadz.com</t>
  </si>
  <si>
    <t>Utah - Sand Hollow and Moab terrain, which lines up with How We Got There.</t>
  </si>
  <si>
    <t>gen1raptors</t>
  </si>
  <si>
    <t>Nick Ceccacci</t>
  </si>
  <si>
    <t>https://www.instagram.com/gen1raptors/</t>
  </si>
  <si>
    <t>2013 Ford Raptor 6.2</t>
  </si>
  <si>
    <t>Ford culture</t>
  </si>
  <si>
    <t>Baja Designs; Apollo Offroad</t>
  </si>
  <si>
    <t>linktr.ee/gen1raptors</t>
  </si>
  <si>
    <t>The Gen 1 Raptor authority account. Runs his own store, so he thinks commercially.</t>
  </si>
  <si>
    <t>trail4r</t>
  </si>
  <si>
    <t>Brenan</t>
  </si>
  <si>
    <t>https://www.instagram.com/trail4r/</t>
  </si>
  <si>
    <t>4Runner resource / TrailCo brand</t>
  </si>
  <si>
    <t>Media brand</t>
  </si>
  <si>
    <t>Multiple</t>
  </si>
  <si>
    <t>linktr.ee/trail4r</t>
  </si>
  <si>
    <t>This is a media brand, not a person. Bio says Get Free Parts and Get Paid - he runs an affiliate network. Different deal shape entirely.</t>
  </si>
  <si>
    <t>soka._.boka</t>
  </si>
  <si>
    <t>oshu</t>
  </si>
  <si>
    <t>https://www.instagram.com/soka._.boka/</t>
  </si>
  <si>
    <t>Phoenix, AZ</t>
  </si>
  <si>
    <t>2023 Ford Bronco Badlands</t>
  </si>
  <si>
    <t>Bronco coverage, AZ desert backdrop. Has a highlight called Fit 35s on 4G - his audience is fitment-obsessed.</t>
  </si>
  <si>
    <t>justdataco</t>
  </si>
  <si>
    <t>Justin</t>
  </si>
  <si>
    <t>https://www.instagram.com/justdataco/</t>
  </si>
  <si>
    <t>Toyota Tacoma</t>
  </si>
  <si>
    <t>Builds / trips</t>
  </si>
  <si>
    <t>Clean ratio and almost no sponsor load. Likely uncontested and cheap to sign.</t>
  </si>
  <si>
    <t>14smilespergallon</t>
  </si>
  <si>
    <t>Zack</t>
  </si>
  <si>
    <t>https://www.instagram.com/14smilespergallon/</t>
  </si>
  <si>
    <t>1972 F350; 1993 Bronco; 2019 F250</t>
  </si>
  <si>
    <t>Classic / OBS Ford</t>
  </si>
  <si>
    <t>Vintage Ford lane. Off the overland brief but wheel-forward, and nobody else on this list covers classic iron.</t>
  </si>
  <si>
    <t>zr2.papi</t>
  </si>
  <si>
    <t>ZR2 Papi</t>
  </si>
  <si>
    <t>https://www.instagram.com/zr2.papi/</t>
  </si>
  <si>
    <t>Dallas, TX</t>
  </si>
  <si>
    <t>Chevy Colorado ZR2</t>
  </si>
  <si>
    <t>Off-road racing</t>
  </si>
  <si>
    <t>Dirt King; Rad Designs Offroad</t>
  </si>
  <si>
    <t>Texas market, racing angle. Just over the 5K floor and follows a lot of accounts.</t>
  </si>
  <si>
    <t>trdpro_pugz</t>
  </si>
  <si>
    <t>Dimitri Justice</t>
  </si>
  <si>
    <t>https://www.instagram.com/trdpro_pugz/</t>
  </si>
  <si>
    <t>2017 Tacoma TRD Pro</t>
  </si>
  <si>
    <t>Builds</t>
  </si>
  <si>
    <t>linktr.ee/trdpro_pugz</t>
  </si>
  <si>
    <t>Already publishes a build list and discount codes. Structured for affiliate deals.</t>
  </si>
  <si>
    <t>bajatundy</t>
  </si>
  <si>
    <t>https://www.instagram.com/bajatundy/</t>
  </si>
  <si>
    <t>Supercharged Toyota Tundra</t>
  </si>
  <si>
    <t>Performance</t>
  </si>
  <si>
    <t>SPD Performance; Magnuson; ADS Racing Shocks</t>
  </si>
  <si>
    <t>4,558 - just under. Tundra performance build, and Tundra is thin on this list. Worth watching.</t>
  </si>
  <si>
    <t>tacodust</t>
  </si>
  <si>
    <t>Jason Denney</t>
  </si>
  <si>
    <t>https://www.instagram.com/tacodust/</t>
  </si>
  <si>
    <t>Comedy / entertainment</t>
  </si>
  <si>
    <t>Nitto Tire; KC HiLites + 20 more</t>
  </si>
  <si>
    <t>youtube.com/@tacodust</t>
  </si>
  <si>
    <t>ALREADY FOLLOWS YOU - Instagram showed Follow Back on his profile. Biggest account found. Comedy-led, so product messaging rides in the back seat.</t>
  </si>
  <si>
    <t>bad_at4x</t>
  </si>
  <si>
    <t>BAD_AT4X</t>
  </si>
  <si>
    <t>https://www.instagram.com/bad_at4x/</t>
  </si>
  <si>
    <t>2023 GMC Canyon AT4X</t>
  </si>
  <si>
    <t>The Wheel Shop; Fuel Off-Road; BFGoodrich</t>
  </si>
  <si>
    <t>CONFLICT: currently running Fuel Off-Road R17s. Only GMC AT4X in tier, so a swap conversation may still be worth having.</t>
  </si>
  <si>
    <t>powerwagoneer</t>
  </si>
  <si>
    <t>The Big Pig &amp; Wags</t>
  </si>
  <si>
    <t>https://www.instagram.com/powerwagoneer/</t>
  </si>
  <si>
    <t>2021 Ram Power Wagon; 1985 Grand Wagoneer</t>
  </si>
  <si>
    <t>Photographer / overland</t>
  </si>
  <si>
    <t>linktr.ee/Rogueelement</t>
  </si>
  <si>
    <t>powerwagon search</t>
  </si>
  <si>
    <t>4,355 - under your floor, but a 23:1 ratio and Death Valley overland content. Best Ram option found. I would waive the floor for this one.</t>
  </si>
  <si>
    <t>powerwagonbuilder</t>
  </si>
  <si>
    <t>Alex J</t>
  </si>
  <si>
    <t>https://www.instagram.com/powerwagonbuilder/</t>
  </si>
  <si>
    <t>Vintage Dodge Power Wagon</t>
  </si>
  <si>
    <t>Fabrication / vintage</t>
  </si>
  <si>
    <t>GFC USA</t>
  </si>
  <si>
    <t>Fabrication and vintage iron, not modern fitment. Include only if you want heritage credibility.</t>
  </si>
  <si>
    <t>stealthzr2</t>
  </si>
  <si>
    <t>Chris &amp; Julie</t>
  </si>
  <si>
    <t>https://www.instagram.com/stealthzr2/</t>
  </si>
  <si>
    <t>Arizona</t>
  </si>
  <si>
    <t>2023 Chevy Colorado ZR2</t>
  </si>
  <si>
    <t>2,473. Couple-led AZ overlanding, well made. Too small today, plausible in six months.</t>
  </si>
  <si>
    <t>fides_garage</t>
  </si>
  <si>
    <t>Fide</t>
  </si>
  <si>
    <t>https://www.instagram.com/fides_garage/</t>
  </si>
  <si>
    <t>Hollywood, CA</t>
  </si>
  <si>
    <t>2011 Ford F-150</t>
  </si>
  <si>
    <t>DIY build</t>
  </si>
  <si>
    <t>fidesgarage.com</t>
  </si>
  <si>
    <t>overland f150 search</t>
  </si>
  <si>
    <t>408 followers - far too early. Noted only because he has a COLLABS highlight and is openly looking for partners.</t>
  </si>
  <si>
    <t>mtn_gx</t>
  </si>
  <si>
    <t>Akong</t>
  </si>
  <si>
    <t>https://www.instagram.com/mtn_gx/</t>
  </si>
  <si>
    <t>Lexus GX</t>
  </si>
  <si>
    <t>Outdoor lifestyle</t>
  </si>
  <si>
    <t>Chill Guys Offroad</t>
  </si>
  <si>
    <t>4,717 - just under the floor. GX platform, lifestyle-led rather than build-led.</t>
  </si>
  <si>
    <t>zr2_arcangel</t>
  </si>
  <si>
    <t>Michael Arcangel</t>
  </si>
  <si>
    <t>https://www.instagram.com/zr2_arcangel/</t>
  </si>
  <si>
    <t>2024 Chevy Colorado Bison</t>
  </si>
  <si>
    <t>Overland</t>
  </si>
  <si>
    <t>407 followers. Too early.</t>
  </si>
  <si>
    <t>Yellow columns (Outreach Status, Date Contacted, Response) are yours to fill in. Everything else is either observed data or a formula.</t>
  </si>
  <si>
    <t>SoCal / Expo, Wheel-Forward, Proven Ambsdr and Wheel Conflict are 1/0 flags set by hand from reviewing each feed on 2026-09-16. Change a flag and the score follows.</t>
  </si>
  <si>
    <t>Source: each account's public Instagram profile, read 2026-09-16. Follower counts are as Instagram displayed them that day.</t>
  </si>
  <si>
    <t>Fit Score - weights and thresholds</t>
  </si>
  <si>
    <t>Edit any blue cell below and every Fit Score and Priority on the Prospects tab recalculates.</t>
  </si>
  <si>
    <t>Weight - follower tier fit</t>
  </si>
  <si>
    <t>Full weight when followers land inside your 5,000-25,000 target band.</t>
  </si>
  <si>
    <t>Weight - authority (follower/following ratio)</t>
  </si>
  <si>
    <t>A high ratio means people sought them out; a low one means they followed their way up.</t>
  </si>
  <si>
    <t>Weight - SoCal / Off-Road Expo reach</t>
  </si>
  <si>
    <t>Can physically reach Costa Mesa Oct 3-4, a Santa Fe Springs fitment, or a local shoot.</t>
  </si>
  <si>
    <t>Weight - wheel-forward content</t>
  </si>
  <si>
    <t>Their existing posts actually show wheels. Set by hand from reviewing each feed.</t>
  </si>
  <si>
    <t>Weight - proven brand ambassador</t>
  </si>
  <si>
    <t>Already on a brand team (Nitto Pit Crew, KC HiLites etc). Knows deliverables and deadlines.</t>
  </si>
  <si>
    <t>Penalty - competing wheel sponsor</t>
  </si>
  <si>
    <t>Subtracted when they already run a rival WHEEL brand. Tires and lighting do not conflict.</t>
  </si>
  <si>
    <t>Thresholds</t>
  </si>
  <si>
    <t>Tier floor (followers)</t>
  </si>
  <si>
    <t>Your stated minimum.</t>
  </si>
  <si>
    <t>Tier ceiling (followers)</t>
  </si>
  <si>
    <t>Top of the micro band you chose.</t>
  </si>
  <si>
    <t>Multiplier if above ceiling</t>
  </si>
  <si>
    <t>Bigger accounts still score, at half tier credit.</t>
  </si>
  <si>
    <t>Multiplier if below floor</t>
  </si>
  <si>
    <t>Near-misses stay visible without crowding the top.</t>
  </si>
  <si>
    <t>Maximum possible score</t>
  </si>
  <si>
    <t>Source: every follower count, bio and location was read directly off each public Instagram profile on 2026-09-16.</t>
  </si>
  <si>
    <t>Counts are what Instagram displayed that day and they drift constantly. Re-check before any paid negotiation.</t>
  </si>
  <si>
    <t>Not ambassadors - these surfaced in the same search and belong in the dealer pipeline</t>
  </si>
  <si>
    <t>You have 25 dealers in progress. These sell or install wheels, so they are dealer leads, not ambassador leads.</t>
  </si>
  <si>
    <t>What they are</t>
  </si>
  <si>
    <t>Address</t>
  </si>
  <si>
    <t>Website</t>
  </si>
  <si>
    <t>Why it matters</t>
  </si>
  <si>
    <t>runnin4tacos</t>
  </si>
  <si>
    <t>Runnin 4 Tacos</t>
  </si>
  <si>
    <t>126K</t>
  </si>
  <si>
    <t>Toyota aftermarket parts store + install shop</t>
  </si>
  <si>
    <t>665 E 70th Ave, Unit 4, Denver, CO 80229</t>
  </si>
  <si>
    <t>runnin4tacos.com</t>
  </si>
  <si>
    <t>Real retail footprint and an install bay. Strongest dealer lead here.</t>
  </si>
  <si>
    <t>thewheelshopinc</t>
  </si>
  <si>
    <t>The Wheel Shop Inc</t>
  </si>
  <si>
    <t>-</t>
  </si>
  <si>
    <t>Wheel retailer</t>
  </si>
  <si>
    <t>Already doing the wheel install work for @bad_at4x. Sells wheels - direct dealer lead.</t>
  </si>
  <si>
    <t>koritastires</t>
  </si>
  <si>
    <t>Koritas Off-Road</t>
  </si>
  <si>
    <t>Lift kits, wheels and tires</t>
  </si>
  <si>
    <t>Sells wheels. Direct dealer lead.</t>
  </si>
  <si>
    <t>ltwmotorsports</t>
  </si>
  <si>
    <t>LTW Motorsports</t>
  </si>
  <si>
    <t>Lift kits, tires, wheels</t>
  </si>
  <si>
    <t>thekietco</t>
  </si>
  <si>
    <t>The Kiet Co</t>
  </si>
  <si>
    <t>Fabrication shop</t>
  </si>
  <si>
    <t>Owned by @brodi_wodie (12.1K). One conversation covers both ambassador and shop.</t>
  </si>
  <si>
    <t>foosgonewheeling</t>
  </si>
  <si>
    <t>Foos Gone Wheeling</t>
  </si>
  <si>
    <t>Wheeling group / club</t>
  </si>
  <si>
    <t>Owned by @zr2chris22 (22.4K). Event and group-run partner rather than a dealer.</t>
  </si>
  <si>
    <t>mesocustoms</t>
  </si>
  <si>
    <t>MESO Customs LLC</t>
  </si>
  <si>
    <t>Toyota accessories brand</t>
  </si>
  <si>
    <t>Accessory brand. Co-marketing rather than dealer.</t>
  </si>
  <si>
    <t>Source: public Instagram profiles, read 2026-09-16.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</si>
</sst>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1"/>
      <color theme="1"/>
      <name val="Calibri"/>
      <family val="2"/>
      <scheme val="minor"/>
    </font>
    <font>
      <b/>
      <sz val="16"/>
      <name val="Arial"/>
    </font>
    <font>
      <i/>
      <sz val="10"/>
      <color rgb="FF595959"/>
      <name val="Arial"/>
    </font>
    <font>
      <b/>
      <sz val="11"/>
      <color rgb="FF1F3A5F"/>
      <name val="Arial"/>
    </font>
    <font>
      <sz val="10"/>
      <name val="Arial"/>
    </font>
    <font>
      <b/>
      <sz val="10"/>
      <color rgb="FFFFFFFF"/>
      <name val="Arial"/>
    </font>
    <font>
      <sz val="10"/>
      <color rgb="FF0000FF"/>
      <name val="Arial"/>
    </font>
    <font>
      <i/>
      <sz val="9"/>
      <color rgb="FF595959"/>
      <name val="Arial"/>
    </font>
    <font>
      <b/>
      <sz val="13"/>
      <name val="Arial"/>
    </font>
    <font>
      <i/>
      <sz val="10"/>
      <name val="Arial"/>
    </font>
    <font>
      <b/>
      <sz val="11"/>
      <name val="Arial"/>
    </font>
    <font>
      <b/>
      <sz val="10"/>
      <name val="Arial"/>
    </font>
    <font>
      <b/>
      <sz val="12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3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164" fontId="4" fillId="0" borderId="1" xfId="0" applyNumberFormat="1" applyFont="1" applyBorder="1" applyAlignment="1">
      <alignment vertical="top"/>
    </xf>
    <xf numFmtId="3" fontId="4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5" fillId="2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13" fillId="0" borderId="1" xfId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yotawolf8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zoomScale="120" zoomScaleNormal="120" workbookViewId="0"/>
  </sheetViews>
  <sheetFormatPr defaultRowHeight="15"/>
  <cols>
    <col min="1" max="1" width="116" customWidth="1"/>
    <col min="2" max="2" width="18" customWidth="1"/>
    <col min="3" max="3" width="32" customWidth="1"/>
  </cols>
  <sheetData>
    <row r="1" spans="1:1" ht="20.25">
      <c r="A1" s="1" t="s">
        <v>0</v>
      </c>
    </row>
    <row r="2" spans="1:1">
      <c r="A2" s="2" t="s">
        <v>1</v>
      </c>
    </row>
    <row r="4" spans="1:1">
      <c r="A4" s="3" t="s">
        <v>2</v>
      </c>
    </row>
    <row r="5" spans="1:1">
      <c r="A5" s="4" t="s">
        <v>3</v>
      </c>
    </row>
    <row r="6" spans="1:1">
      <c r="A6" s="4" t="s">
        <v>4</v>
      </c>
    </row>
    <row r="8" spans="1:1">
      <c r="A8" s="3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3" spans="1:1">
      <c r="A13" s="3" t="s">
        <v>9</v>
      </c>
    </row>
    <row r="14" spans="1:1">
      <c r="A14" s="4" t="s">
        <v>10</v>
      </c>
    </row>
    <row r="15" spans="1:1">
      <c r="A15" s="4" t="s">
        <v>11</v>
      </c>
    </row>
    <row r="16" spans="1:1">
      <c r="A16" s="4" t="s">
        <v>12</v>
      </c>
    </row>
    <row r="17" spans="1:3">
      <c r="A17" s="4" t="s">
        <v>13</v>
      </c>
    </row>
    <row r="19" spans="1:3">
      <c r="A19" s="3" t="s">
        <v>14</v>
      </c>
    </row>
    <row r="20" spans="1:3">
      <c r="A20" s="4" t="s">
        <v>15</v>
      </c>
    </row>
    <row r="22" spans="1:3">
      <c r="A22" s="3" t="s">
        <v>16</v>
      </c>
    </row>
    <row r="23" spans="1:3">
      <c r="A23" s="5" t="s">
        <v>17</v>
      </c>
      <c r="B23" s="5" t="s">
        <v>18</v>
      </c>
      <c r="C23" s="5" t="s">
        <v>19</v>
      </c>
    </row>
    <row r="24" spans="1:3">
      <c r="A24" s="6" t="s">
        <v>20</v>
      </c>
      <c r="B24" s="6" t="s">
        <v>21</v>
      </c>
      <c r="C24" s="6" t="s">
        <v>22</v>
      </c>
    </row>
    <row r="26" spans="1:3">
      <c r="A26" s="3" t="s">
        <v>23</v>
      </c>
    </row>
    <row r="27" spans="1:3">
      <c r="A27" s="4" t="s">
        <v>24</v>
      </c>
    </row>
    <row r="28" spans="1:3">
      <c r="A28" s="4" t="s">
        <v>25</v>
      </c>
    </row>
    <row r="29" spans="1:3">
      <c r="A29" s="4" t="s">
        <v>26</v>
      </c>
    </row>
    <row r="30" spans="1:3">
      <c r="A30" s="4" t="s">
        <v>27</v>
      </c>
    </row>
    <row r="31" spans="1:3">
      <c r="A31" s="4" t="s">
        <v>28</v>
      </c>
    </row>
    <row r="32" spans="1:3">
      <c r="A32" s="4" t="s">
        <v>29</v>
      </c>
    </row>
    <row r="34" spans="1:1">
      <c r="A34" s="3" t="s">
        <v>30</v>
      </c>
    </row>
    <row r="35" spans="1:1">
      <c r="A35" s="4" t="s">
        <v>31</v>
      </c>
    </row>
    <row r="36" spans="1:1">
      <c r="A36" s="4" t="s">
        <v>32</v>
      </c>
    </row>
    <row r="37" spans="1:1">
      <c r="A37" s="4" t="s">
        <v>33</v>
      </c>
    </row>
    <row r="38" spans="1:1">
      <c r="A38" s="4" t="s">
        <v>34</v>
      </c>
    </row>
    <row r="39" spans="1:1">
      <c r="A39" s="4" t="s">
        <v>35</v>
      </c>
    </row>
    <row r="40" spans="1:1">
      <c r="A40" s="4" t="s">
        <v>36</v>
      </c>
    </row>
    <row r="41" spans="1:1">
      <c r="A41" s="4" t="s">
        <v>37</v>
      </c>
    </row>
    <row r="42" spans="1:1">
      <c r="A42" s="4" t="s">
        <v>38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1"/>
  <sheetViews>
    <sheetView tabSelected="1" topLeftCell="K1" zoomScale="80" zoomScaleNormal="80" workbookViewId="0">
      <pane ySplit="1" topLeftCell="A3" activePane="bottomLeft" state="frozen"/>
      <selection pane="bottomLeft" activeCell="W10" sqref="W10"/>
    </sheetView>
  </sheetViews>
  <sheetFormatPr defaultRowHeight="15"/>
  <cols>
    <col min="1" max="1" width="18" customWidth="1"/>
    <col min="2" max="2" width="10" customWidth="1"/>
    <col min="3" max="4" width="22" customWidth="1"/>
    <col min="5" max="5" width="40" customWidth="1"/>
    <col min="6" max="7" width="11" customWidth="1"/>
    <col min="8" max="9" width="8" customWidth="1"/>
    <col min="10" max="10" width="20" customWidth="1"/>
    <col min="11" max="12" width="34" customWidth="1"/>
    <col min="13" max="13" width="24" customWidth="1"/>
    <col min="14" max="14" width="34" customWidth="1"/>
    <col min="19" max="19" width="26" customWidth="1"/>
    <col min="20" max="20" width="20" customWidth="1"/>
    <col min="21" max="21" width="70" customWidth="1"/>
    <col min="22" max="22" width="16" customWidth="1"/>
    <col min="23" max="23" width="14" customWidth="1"/>
    <col min="24" max="24" width="16" customWidth="1"/>
  </cols>
  <sheetData>
    <row r="1" spans="1:24" ht="25.5">
      <c r="A1" s="7" t="s">
        <v>39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44</v>
      </c>
      <c r="G1" s="7" t="s">
        <v>45</v>
      </c>
      <c r="H1" s="7" t="s">
        <v>46</v>
      </c>
      <c r="I1" s="7" t="s">
        <v>47</v>
      </c>
      <c r="J1" s="7" t="s">
        <v>48</v>
      </c>
      <c r="K1" s="7" t="s">
        <v>49</v>
      </c>
      <c r="L1" s="7" t="s">
        <v>50</v>
      </c>
      <c r="M1" s="7" t="s">
        <v>51</v>
      </c>
      <c r="N1" s="7" t="s">
        <v>52</v>
      </c>
      <c r="O1" s="7" t="s">
        <v>53</v>
      </c>
      <c r="P1" s="7" t="s">
        <v>54</v>
      </c>
      <c r="Q1" s="7" t="s">
        <v>55</v>
      </c>
      <c r="R1" s="7" t="s">
        <v>56</v>
      </c>
      <c r="S1" s="7" t="s">
        <v>57</v>
      </c>
      <c r="T1" s="7" t="s">
        <v>58</v>
      </c>
      <c r="U1" s="7" t="s">
        <v>59</v>
      </c>
      <c r="V1" s="7" t="s">
        <v>17</v>
      </c>
      <c r="W1" s="7" t="s">
        <v>18</v>
      </c>
      <c r="X1" s="7" t="s">
        <v>19</v>
      </c>
    </row>
    <row r="2" spans="1:24" ht="57.95" customHeight="1">
      <c r="A2" s="8" t="str">
        <f t="shared" ref="A2:A37" si="0">IF(B2&gt;=75,"A - contact first",IF(B2&gt;=55,"B - second wave",IF(B2&gt;=35,"C - watchlist","D - not now")))</f>
        <v>A - contact first</v>
      </c>
      <c r="B2" s="9">
        <f>ROUND('Scoring Model'!$B$4*IF(AND(F2&gt;='Scoring Model'!$B$11,F2&lt;='Scoring Model'!$B$12),1,IF(F2&gt;'Scoring Model'!$B$12,'Scoring Model'!$B$13,'Scoring Model'!$B$14))+'Scoring Model'!$B$5*IF(I2&gt;=20,1,IF(I2&gt;=10,0.8,IF(I2&gt;=5,0.6,IF(I2&gt;=2,0.4,0.15))))+'Scoring Model'!$B$6*O2+'Scoring Model'!$B$7*P2+'Scoring Model'!$B$8*Q2-'Scoring Model'!$B$9*R2,1)</f>
        <v>100</v>
      </c>
      <c r="C2" s="8" t="s">
        <v>60</v>
      </c>
      <c r="D2" s="8" t="s">
        <v>61</v>
      </c>
      <c r="E2" s="23" t="s">
        <v>62</v>
      </c>
      <c r="F2" s="10">
        <v>13400</v>
      </c>
      <c r="G2" s="10">
        <v>297</v>
      </c>
      <c r="H2" s="10">
        <v>74</v>
      </c>
      <c r="I2" s="9">
        <f t="shared" ref="I2:I37" si="1">IFERROR(F2/G2,0)</f>
        <v>45.117845117845121</v>
      </c>
      <c r="J2" s="8" t="s">
        <v>63</v>
      </c>
      <c r="K2" s="11" t="s">
        <v>64</v>
      </c>
      <c r="L2" s="11" t="s">
        <v>65</v>
      </c>
      <c r="M2" s="11" t="s">
        <v>66</v>
      </c>
      <c r="N2" s="11" t="s">
        <v>67</v>
      </c>
      <c r="O2" s="8">
        <v>1</v>
      </c>
      <c r="P2" s="8">
        <v>1</v>
      </c>
      <c r="Q2" s="8">
        <v>1</v>
      </c>
      <c r="R2" s="8">
        <v>0</v>
      </c>
      <c r="S2" s="8" t="s">
        <v>68</v>
      </c>
      <c r="T2" s="8" t="s">
        <v>69</v>
      </c>
      <c r="U2" s="11" t="s">
        <v>70</v>
      </c>
      <c r="V2" s="12"/>
      <c r="W2" s="12"/>
      <c r="X2" s="12"/>
    </row>
    <row r="3" spans="1:24" ht="57.95" customHeight="1">
      <c r="A3" s="8" t="str">
        <f t="shared" si="0"/>
        <v>A - contact first</v>
      </c>
      <c r="B3" s="9">
        <f>ROUND('Scoring Model'!$B$4*IF(AND(F3&gt;='Scoring Model'!$B$11,F3&lt;='Scoring Model'!$B$12),1,IF(F3&gt;'Scoring Model'!$B$12,'Scoring Model'!$B$13,'Scoring Model'!$B$14))+'Scoring Model'!$B$5*IF(I3&gt;=20,1,IF(I3&gt;=10,0.8,IF(I3&gt;=5,0.6,IF(I3&gt;=2,0.4,0.15))))+'Scoring Model'!$B$6*O3+'Scoring Model'!$B$7*P3+'Scoring Model'!$B$8*Q3-'Scoring Model'!$B$9*R3,1)</f>
        <v>97</v>
      </c>
      <c r="C3" s="8" t="s">
        <v>71</v>
      </c>
      <c r="D3" s="8" t="s">
        <v>72</v>
      </c>
      <c r="E3" s="8" t="s">
        <v>73</v>
      </c>
      <c r="F3" s="10">
        <v>20700</v>
      </c>
      <c r="G3" s="10">
        <v>1307</v>
      </c>
      <c r="H3" s="10">
        <v>508</v>
      </c>
      <c r="I3" s="9">
        <f t="shared" si="1"/>
        <v>15.83779648048967</v>
      </c>
      <c r="J3" s="8" t="s">
        <v>74</v>
      </c>
      <c r="K3" s="11" t="s">
        <v>75</v>
      </c>
      <c r="L3" s="11" t="s">
        <v>76</v>
      </c>
      <c r="M3" s="11" t="s">
        <v>77</v>
      </c>
      <c r="N3" s="11" t="s">
        <v>78</v>
      </c>
      <c r="O3" s="8">
        <v>1</v>
      </c>
      <c r="P3" s="8">
        <v>1</v>
      </c>
      <c r="Q3" s="8">
        <v>1</v>
      </c>
      <c r="R3" s="8">
        <v>0</v>
      </c>
      <c r="S3" s="8" t="s">
        <v>79</v>
      </c>
      <c r="T3" s="8" t="s">
        <v>69</v>
      </c>
      <c r="U3" s="11" t="s">
        <v>80</v>
      </c>
      <c r="V3" s="20"/>
      <c r="W3" s="20" t="s">
        <v>81</v>
      </c>
      <c r="X3" s="20"/>
    </row>
    <row r="4" spans="1:24" ht="57.95" customHeight="1">
      <c r="A4" s="8" t="str">
        <f t="shared" si="0"/>
        <v>A - contact first</v>
      </c>
      <c r="B4" s="9">
        <f>ROUND('Scoring Model'!$B$4*IF(AND(F4&gt;='Scoring Model'!$B$11,F4&lt;='Scoring Model'!$B$12),1,IF(F4&gt;'Scoring Model'!$B$12,'Scoring Model'!$B$13,'Scoring Model'!$B$14))+'Scoring Model'!$B$5*IF(I4&gt;=20,1,IF(I4&gt;=10,0.8,IF(I4&gt;=5,0.6,IF(I4&gt;=2,0.4,0.15))))+'Scoring Model'!$B$6*O4+'Scoring Model'!$B$7*P4+'Scoring Model'!$B$8*Q4-'Scoring Model'!$B$9*R4,1)</f>
        <v>85</v>
      </c>
      <c r="C4" s="8" t="s">
        <v>82</v>
      </c>
      <c r="D4" s="8" t="s">
        <v>83</v>
      </c>
      <c r="E4" s="8" t="s">
        <v>84</v>
      </c>
      <c r="F4" s="10">
        <v>12800</v>
      </c>
      <c r="G4" s="10">
        <v>389</v>
      </c>
      <c r="H4" s="10">
        <v>56</v>
      </c>
      <c r="I4" s="9">
        <f t="shared" si="1"/>
        <v>32.904884318766065</v>
      </c>
      <c r="J4" s="8" t="s">
        <v>85</v>
      </c>
      <c r="K4" s="11" t="s">
        <v>86</v>
      </c>
      <c r="L4" s="11" t="s">
        <v>87</v>
      </c>
      <c r="M4" s="11" t="s">
        <v>88</v>
      </c>
      <c r="N4" s="11" t="s">
        <v>68</v>
      </c>
      <c r="O4" s="8">
        <v>1</v>
      </c>
      <c r="P4" s="8">
        <v>1</v>
      </c>
      <c r="Q4" s="8">
        <v>0</v>
      </c>
      <c r="R4" s="8">
        <v>0</v>
      </c>
      <c r="S4" s="8" t="s">
        <v>68</v>
      </c>
      <c r="T4" s="8" t="s">
        <v>89</v>
      </c>
      <c r="U4" s="11" t="s">
        <v>90</v>
      </c>
      <c r="V4" s="12"/>
      <c r="W4" s="20" t="s">
        <v>81</v>
      </c>
      <c r="X4" s="22" t="s">
        <v>91</v>
      </c>
    </row>
    <row r="5" spans="1:24" ht="57.95" customHeight="1">
      <c r="A5" s="8" t="str">
        <f t="shared" si="0"/>
        <v>A - contact first</v>
      </c>
      <c r="B5" s="9">
        <f>ROUND('Scoring Model'!$B$4*IF(AND(F5&gt;='Scoring Model'!$B$11,F5&lt;='Scoring Model'!$B$12),1,IF(F5&gt;'Scoring Model'!$B$12,'Scoring Model'!$B$13,'Scoring Model'!$B$14))+'Scoring Model'!$B$5*IF(I5&gt;=20,1,IF(I5&gt;=10,0.8,IF(I5&gt;=5,0.6,IF(I5&gt;=2,0.4,0.15))))+'Scoring Model'!$B$6*O5+'Scoring Model'!$B$7*P5+'Scoring Model'!$B$8*Q5-'Scoring Model'!$B$9*R5,1)</f>
        <v>85</v>
      </c>
      <c r="C5" s="8" t="s">
        <v>92</v>
      </c>
      <c r="D5" s="8" t="s">
        <v>93</v>
      </c>
      <c r="E5" s="8" t="s">
        <v>94</v>
      </c>
      <c r="F5" s="10">
        <v>19900</v>
      </c>
      <c r="G5" s="10">
        <v>729</v>
      </c>
      <c r="H5" s="10">
        <v>3671</v>
      </c>
      <c r="I5" s="9">
        <f t="shared" si="1"/>
        <v>27.29766803840878</v>
      </c>
      <c r="J5" s="8" t="s">
        <v>85</v>
      </c>
      <c r="K5" s="11" t="s">
        <v>95</v>
      </c>
      <c r="L5" s="11" t="s">
        <v>96</v>
      </c>
      <c r="M5" s="11" t="s">
        <v>97</v>
      </c>
      <c r="N5" s="11" t="s">
        <v>98</v>
      </c>
      <c r="O5" s="8">
        <v>1</v>
      </c>
      <c r="P5" s="8">
        <v>1</v>
      </c>
      <c r="Q5" s="8">
        <v>0</v>
      </c>
      <c r="R5" s="8">
        <v>0</v>
      </c>
      <c r="S5" s="8" t="s">
        <v>99</v>
      </c>
      <c r="T5" s="8" t="s">
        <v>100</v>
      </c>
      <c r="U5" s="11" t="s">
        <v>101</v>
      </c>
      <c r="V5" s="12"/>
      <c r="W5" s="12"/>
      <c r="X5" s="12"/>
    </row>
    <row r="6" spans="1:24" ht="57.95" customHeight="1">
      <c r="A6" s="8" t="str">
        <f t="shared" si="0"/>
        <v>A - contact first</v>
      </c>
      <c r="B6" s="9">
        <f>ROUND('Scoring Model'!$B$4*IF(AND(F6&gt;='Scoring Model'!$B$11,F6&lt;='Scoring Model'!$B$12),1,IF(F6&gt;'Scoring Model'!$B$12,'Scoring Model'!$B$13,'Scoring Model'!$B$14))+'Scoring Model'!$B$5*IF(I6&gt;=20,1,IF(I6&gt;=10,0.8,IF(I6&gt;=5,0.6,IF(I6&gt;=2,0.4,0.15))))+'Scoring Model'!$B$6*O6+'Scoring Model'!$B$7*P6+'Scoring Model'!$B$8*Q6-'Scoring Model'!$B$9*R6,1)</f>
        <v>85</v>
      </c>
      <c r="C6" s="8" t="s">
        <v>102</v>
      </c>
      <c r="D6" s="8" t="s">
        <v>103</v>
      </c>
      <c r="E6" s="8" t="s">
        <v>104</v>
      </c>
      <c r="F6" s="10">
        <v>11900</v>
      </c>
      <c r="G6" s="10">
        <v>421</v>
      </c>
      <c r="H6" s="10">
        <v>321</v>
      </c>
      <c r="I6" s="9">
        <f t="shared" si="1"/>
        <v>28.26603325415677</v>
      </c>
      <c r="J6" s="8" t="s">
        <v>74</v>
      </c>
      <c r="K6" s="11" t="s">
        <v>105</v>
      </c>
      <c r="L6" s="11" t="s">
        <v>96</v>
      </c>
      <c r="M6" s="11" t="s">
        <v>106</v>
      </c>
      <c r="N6" s="11" t="s">
        <v>107</v>
      </c>
      <c r="O6" s="8">
        <v>1</v>
      </c>
      <c r="P6" s="8">
        <v>1</v>
      </c>
      <c r="Q6" s="8">
        <v>0</v>
      </c>
      <c r="R6" s="8">
        <v>0</v>
      </c>
      <c r="S6" s="8" t="s">
        <v>108</v>
      </c>
      <c r="T6" s="8" t="s">
        <v>109</v>
      </c>
      <c r="U6" s="11" t="s">
        <v>110</v>
      </c>
      <c r="V6" s="12"/>
      <c r="W6" s="12"/>
      <c r="X6" s="12"/>
    </row>
    <row r="7" spans="1:24" ht="57.95" customHeight="1">
      <c r="A7" s="8" t="str">
        <f t="shared" si="0"/>
        <v>A - contact first</v>
      </c>
      <c r="B7" s="9">
        <f>ROUND('Scoring Model'!$B$4*IF(AND(F7&gt;='Scoring Model'!$B$11,F7&lt;='Scoring Model'!$B$12),1,IF(F7&gt;'Scoring Model'!$B$12,'Scoring Model'!$B$13,'Scoring Model'!$B$14))+'Scoring Model'!$B$5*IF(I7&gt;=20,1,IF(I7&gt;=10,0.8,IF(I7&gt;=5,0.6,IF(I7&gt;=2,0.4,0.15))))+'Scoring Model'!$B$6*O7+'Scoring Model'!$B$7*P7+'Scoring Model'!$B$8*Q7-'Scoring Model'!$B$9*R7,1)</f>
        <v>85</v>
      </c>
      <c r="C7" s="8" t="s">
        <v>111</v>
      </c>
      <c r="D7" s="8" t="s">
        <v>112</v>
      </c>
      <c r="E7" s="8" t="s">
        <v>113</v>
      </c>
      <c r="F7" s="10">
        <v>34800</v>
      </c>
      <c r="G7" s="10">
        <v>832</v>
      </c>
      <c r="H7" s="10">
        <v>1791</v>
      </c>
      <c r="I7" s="9">
        <f t="shared" si="1"/>
        <v>41.82692307692308</v>
      </c>
      <c r="J7" s="8" t="s">
        <v>114</v>
      </c>
      <c r="K7" s="11" t="s">
        <v>115</v>
      </c>
      <c r="L7" s="11" t="s">
        <v>87</v>
      </c>
      <c r="M7" s="11" t="s">
        <v>66</v>
      </c>
      <c r="N7" s="11" t="s">
        <v>116</v>
      </c>
      <c r="O7" s="8">
        <v>1</v>
      </c>
      <c r="P7" s="8">
        <v>1</v>
      </c>
      <c r="Q7" s="8">
        <v>1</v>
      </c>
      <c r="R7" s="8">
        <v>0</v>
      </c>
      <c r="S7" s="8" t="s">
        <v>117</v>
      </c>
      <c r="T7" s="8" t="s">
        <v>118</v>
      </c>
      <c r="U7" s="11" t="s">
        <v>119</v>
      </c>
      <c r="V7" s="12"/>
      <c r="W7" s="20" t="s">
        <v>81</v>
      </c>
      <c r="X7" s="12"/>
    </row>
    <row r="8" spans="1:24" ht="57.95" customHeight="1">
      <c r="A8" s="8" t="str">
        <f t="shared" si="0"/>
        <v>A - contact first</v>
      </c>
      <c r="B8" s="9">
        <f>ROUND('Scoring Model'!$B$4*IF(AND(F8&gt;='Scoring Model'!$B$11,F8&lt;='Scoring Model'!$B$12),1,IF(F8&gt;'Scoring Model'!$B$12,'Scoring Model'!$B$13,'Scoring Model'!$B$14))+'Scoring Model'!$B$5*IF(I8&gt;=20,1,IF(I8&gt;=10,0.8,IF(I8&gt;=5,0.6,IF(I8&gt;=2,0.4,0.15))))+'Scoring Model'!$B$6*O8+'Scoring Model'!$B$7*P8+'Scoring Model'!$B$8*Q8-'Scoring Model'!$B$9*R8,1)</f>
        <v>80</v>
      </c>
      <c r="C8" s="8" t="s">
        <v>120</v>
      </c>
      <c r="D8" s="8" t="s">
        <v>121</v>
      </c>
      <c r="E8" s="8" t="s">
        <v>122</v>
      </c>
      <c r="F8" s="10">
        <v>23800</v>
      </c>
      <c r="G8" s="10">
        <v>1097</v>
      </c>
      <c r="H8" s="10">
        <v>228</v>
      </c>
      <c r="I8" s="9">
        <f t="shared" si="1"/>
        <v>21.69553327256153</v>
      </c>
      <c r="J8" s="8" t="s">
        <v>123</v>
      </c>
      <c r="K8" s="11" t="s">
        <v>124</v>
      </c>
      <c r="L8" s="11" t="s">
        <v>125</v>
      </c>
      <c r="M8" s="11" t="s">
        <v>126</v>
      </c>
      <c r="N8" s="11" t="s">
        <v>127</v>
      </c>
      <c r="O8" s="8">
        <v>0</v>
      </c>
      <c r="P8" s="8">
        <v>1</v>
      </c>
      <c r="Q8" s="8">
        <v>1</v>
      </c>
      <c r="R8" s="8">
        <v>0</v>
      </c>
      <c r="S8" s="8" t="s">
        <v>68</v>
      </c>
      <c r="T8" s="8" t="s">
        <v>69</v>
      </c>
      <c r="U8" s="11" t="s">
        <v>128</v>
      </c>
      <c r="V8" s="12"/>
      <c r="W8" s="12"/>
      <c r="X8" s="12"/>
    </row>
    <row r="9" spans="1:24" ht="57.95" customHeight="1">
      <c r="A9" s="8" t="str">
        <f t="shared" si="0"/>
        <v>A - contact first</v>
      </c>
      <c r="B9" s="9">
        <f>ROUND('Scoring Model'!$B$4*IF(AND(F9&gt;='Scoring Model'!$B$11,F9&lt;='Scoring Model'!$B$12),1,IF(F9&gt;'Scoring Model'!$B$12,'Scoring Model'!$B$13,'Scoring Model'!$B$14))+'Scoring Model'!$B$5*IF(I9&gt;=20,1,IF(I9&gt;=10,0.8,IF(I9&gt;=5,0.6,IF(I9&gt;=2,0.4,0.15))))+'Scoring Model'!$B$6*O9+'Scoring Model'!$B$7*P9+'Scoring Model'!$B$8*Q9-'Scoring Model'!$B$9*R9,1)</f>
        <v>80</v>
      </c>
      <c r="C9" s="8" t="s">
        <v>129</v>
      </c>
      <c r="D9" s="8" t="s">
        <v>130</v>
      </c>
      <c r="E9" s="8" t="s">
        <v>131</v>
      </c>
      <c r="F9" s="10">
        <v>14900</v>
      </c>
      <c r="G9" s="10">
        <v>540</v>
      </c>
      <c r="H9" s="10">
        <v>744</v>
      </c>
      <c r="I9" s="9">
        <f t="shared" si="1"/>
        <v>27.592592592592592</v>
      </c>
      <c r="J9" s="8" t="s">
        <v>123</v>
      </c>
      <c r="K9" s="11" t="s">
        <v>132</v>
      </c>
      <c r="L9" s="11" t="s">
        <v>133</v>
      </c>
      <c r="M9" s="11" t="s">
        <v>134</v>
      </c>
      <c r="N9" s="11" t="s">
        <v>135</v>
      </c>
      <c r="O9" s="8">
        <v>0</v>
      </c>
      <c r="P9" s="8">
        <v>1</v>
      </c>
      <c r="Q9" s="8">
        <v>1</v>
      </c>
      <c r="R9" s="8">
        <v>0</v>
      </c>
      <c r="S9" s="8" t="s">
        <v>68</v>
      </c>
      <c r="T9" s="8" t="s">
        <v>136</v>
      </c>
      <c r="U9" s="11" t="s">
        <v>137</v>
      </c>
      <c r="V9" s="12"/>
      <c r="W9" s="12"/>
      <c r="X9" s="12"/>
    </row>
    <row r="10" spans="1:24" ht="57.95" customHeight="1">
      <c r="A10" s="8" t="str">
        <f t="shared" si="0"/>
        <v>A - contact first</v>
      </c>
      <c r="B10" s="9">
        <f>ROUND('Scoring Model'!$B$4*IF(AND(F10&gt;='Scoring Model'!$B$11,F10&lt;='Scoring Model'!$B$12),1,IF(F10&gt;'Scoring Model'!$B$12,'Scoring Model'!$B$13,'Scoring Model'!$B$14))+'Scoring Model'!$B$5*IF(I10&gt;=20,1,IF(I10&gt;=10,0.8,IF(I10&gt;=5,0.6,IF(I10&gt;=2,0.4,0.15))))+'Scoring Model'!$B$6*O10+'Scoring Model'!$B$7*P10+'Scoring Model'!$B$8*Q10-'Scoring Model'!$B$9*R10,1)</f>
        <v>79</v>
      </c>
      <c r="C10" s="8" t="s">
        <v>138</v>
      </c>
      <c r="D10" s="8" t="s">
        <v>139</v>
      </c>
      <c r="E10" s="8" t="s">
        <v>140</v>
      </c>
      <c r="F10" s="10">
        <v>13600</v>
      </c>
      <c r="G10" s="10">
        <v>1857</v>
      </c>
      <c r="H10" s="10">
        <v>431</v>
      </c>
      <c r="I10" s="9">
        <f t="shared" si="1"/>
        <v>7.3236402800215403</v>
      </c>
      <c r="J10" s="8" t="s">
        <v>74</v>
      </c>
      <c r="K10" s="11" t="s">
        <v>141</v>
      </c>
      <c r="L10" s="11" t="s">
        <v>142</v>
      </c>
      <c r="M10" s="11" t="s">
        <v>143</v>
      </c>
      <c r="N10" s="11" t="s">
        <v>68</v>
      </c>
      <c r="O10" s="8">
        <v>1</v>
      </c>
      <c r="P10" s="8">
        <v>1</v>
      </c>
      <c r="Q10" s="8">
        <v>0</v>
      </c>
      <c r="R10" s="8">
        <v>0</v>
      </c>
      <c r="S10" s="8" t="s">
        <v>144</v>
      </c>
      <c r="T10" s="8" t="s">
        <v>89</v>
      </c>
      <c r="U10" s="11" t="s">
        <v>145</v>
      </c>
      <c r="V10" s="20"/>
      <c r="W10" s="20" t="s">
        <v>81</v>
      </c>
      <c r="X10" s="20"/>
    </row>
    <row r="11" spans="1:24" ht="57.95" customHeight="1">
      <c r="A11" s="8" t="str">
        <f t="shared" si="0"/>
        <v>A - contact first</v>
      </c>
      <c r="B11" s="9">
        <f>ROUND('Scoring Model'!$B$4*IF(AND(F11&gt;='Scoring Model'!$B$11,F11&lt;='Scoring Model'!$B$12),1,IF(F11&gt;'Scoring Model'!$B$12,'Scoring Model'!$B$13,'Scoring Model'!$B$14))+'Scoring Model'!$B$5*IF(I11&gt;=20,1,IF(I11&gt;=10,0.8,IF(I11&gt;=5,0.6,IF(I11&gt;=2,0.4,0.15))))+'Scoring Model'!$B$6*O11+'Scoring Model'!$B$7*P11+'Scoring Model'!$B$8*Q11-'Scoring Model'!$B$9*R11,1)</f>
        <v>79</v>
      </c>
      <c r="C11" s="8" t="s">
        <v>146</v>
      </c>
      <c r="D11" s="8" t="s">
        <v>147</v>
      </c>
      <c r="E11" s="8" t="s">
        <v>148</v>
      </c>
      <c r="F11" s="10">
        <v>9628</v>
      </c>
      <c r="G11" s="10">
        <v>1604</v>
      </c>
      <c r="H11" s="10">
        <v>295</v>
      </c>
      <c r="I11" s="9">
        <f t="shared" si="1"/>
        <v>6.0024937655860349</v>
      </c>
      <c r="J11" s="8" t="s">
        <v>85</v>
      </c>
      <c r="K11" s="11" t="s">
        <v>149</v>
      </c>
      <c r="L11" s="11" t="s">
        <v>150</v>
      </c>
      <c r="M11" s="11" t="s">
        <v>151</v>
      </c>
      <c r="N11" s="11" t="s">
        <v>152</v>
      </c>
      <c r="O11" s="8">
        <v>1</v>
      </c>
      <c r="P11" s="8">
        <v>1</v>
      </c>
      <c r="Q11" s="8">
        <v>0</v>
      </c>
      <c r="R11" s="8">
        <v>0</v>
      </c>
      <c r="S11" s="8" t="s">
        <v>153</v>
      </c>
      <c r="T11" s="8" t="s">
        <v>109</v>
      </c>
      <c r="U11" s="11" t="s">
        <v>154</v>
      </c>
      <c r="V11" s="20"/>
      <c r="W11" s="20" t="s">
        <v>81</v>
      </c>
      <c r="X11" s="21" t="s">
        <v>155</v>
      </c>
    </row>
    <row r="12" spans="1:24" ht="57.95" customHeight="1">
      <c r="A12" s="8" t="str">
        <f t="shared" si="0"/>
        <v>A - contact first</v>
      </c>
      <c r="B12" s="9">
        <f>ROUND('Scoring Model'!$B$4*IF(AND(F12&gt;='Scoring Model'!$B$11,F12&lt;='Scoring Model'!$B$12),1,IF(F12&gt;'Scoring Model'!$B$12,'Scoring Model'!$B$13,'Scoring Model'!$B$14))+'Scoring Model'!$B$5*IF(I12&gt;=20,1,IF(I12&gt;=10,0.8,IF(I12&gt;=5,0.6,IF(I12&gt;=2,0.4,0.15))))+'Scoring Model'!$B$6*O12+'Scoring Model'!$B$7*P12+'Scoring Model'!$B$8*Q12-'Scoring Model'!$B$9*R12,1)</f>
        <v>77</v>
      </c>
      <c r="C12" s="8" t="s">
        <v>156</v>
      </c>
      <c r="D12" s="8" t="s">
        <v>157</v>
      </c>
      <c r="E12" s="8" t="s">
        <v>158</v>
      </c>
      <c r="F12" s="10">
        <v>22400</v>
      </c>
      <c r="G12" s="10">
        <v>1527</v>
      </c>
      <c r="H12" s="10">
        <v>439</v>
      </c>
      <c r="I12" s="9">
        <f t="shared" si="1"/>
        <v>14.66928618205632</v>
      </c>
      <c r="J12" s="8" t="s">
        <v>123</v>
      </c>
      <c r="K12" s="11" t="s">
        <v>159</v>
      </c>
      <c r="L12" s="11" t="s">
        <v>160</v>
      </c>
      <c r="M12" s="11" t="s">
        <v>161</v>
      </c>
      <c r="N12" s="11" t="s">
        <v>116</v>
      </c>
      <c r="O12" s="8">
        <v>0</v>
      </c>
      <c r="P12" s="8">
        <v>1</v>
      </c>
      <c r="Q12" s="8">
        <v>1</v>
      </c>
      <c r="R12" s="8">
        <v>0</v>
      </c>
      <c r="S12" s="8" t="s">
        <v>68</v>
      </c>
      <c r="T12" s="8" t="s">
        <v>162</v>
      </c>
      <c r="U12" s="11" t="s">
        <v>163</v>
      </c>
      <c r="V12" s="12"/>
      <c r="W12" s="12"/>
      <c r="X12" s="12"/>
    </row>
    <row r="13" spans="1:24" ht="57.95" customHeight="1">
      <c r="A13" s="8" t="str">
        <f t="shared" si="0"/>
        <v>A - contact first</v>
      </c>
      <c r="B13" s="9">
        <f>ROUND('Scoring Model'!$B$4*IF(AND(F13&gt;='Scoring Model'!$B$11,F13&lt;='Scoring Model'!$B$12),1,IF(F13&gt;'Scoring Model'!$B$12,'Scoring Model'!$B$13,'Scoring Model'!$B$14))+'Scoring Model'!$B$5*IF(I13&gt;=20,1,IF(I13&gt;=10,0.8,IF(I13&gt;=5,0.6,IF(I13&gt;=2,0.4,0.15))))+'Scoring Model'!$B$6*O13+'Scoring Model'!$B$7*P13+'Scoring Model'!$B$8*Q13-'Scoring Model'!$B$9*R13,1)</f>
        <v>77</v>
      </c>
      <c r="C13" s="8" t="s">
        <v>164</v>
      </c>
      <c r="D13" s="8" t="s">
        <v>165</v>
      </c>
      <c r="E13" s="8" t="s">
        <v>166</v>
      </c>
      <c r="F13" s="10">
        <v>12400</v>
      </c>
      <c r="G13" s="10">
        <v>741</v>
      </c>
      <c r="H13" s="10">
        <v>248</v>
      </c>
      <c r="I13" s="9">
        <f t="shared" si="1"/>
        <v>16.734143049932523</v>
      </c>
      <c r="J13" s="8" t="s">
        <v>123</v>
      </c>
      <c r="K13" s="11" t="s">
        <v>167</v>
      </c>
      <c r="L13" s="11" t="s">
        <v>168</v>
      </c>
      <c r="M13" s="11" t="s">
        <v>169</v>
      </c>
      <c r="N13" s="11" t="s">
        <v>135</v>
      </c>
      <c r="O13" s="8">
        <v>0</v>
      </c>
      <c r="P13" s="8">
        <v>1</v>
      </c>
      <c r="Q13" s="8">
        <v>1</v>
      </c>
      <c r="R13" s="8">
        <v>0</v>
      </c>
      <c r="S13" s="8" t="s">
        <v>170</v>
      </c>
      <c r="T13" s="8" t="s">
        <v>118</v>
      </c>
      <c r="U13" s="11" t="s">
        <v>171</v>
      </c>
      <c r="V13" s="12"/>
      <c r="W13" s="12"/>
      <c r="X13" s="12"/>
    </row>
    <row r="14" spans="1:24" ht="57.95" customHeight="1">
      <c r="A14" s="8" t="str">
        <f t="shared" si="0"/>
        <v>B - second wave</v>
      </c>
      <c r="B14" s="9">
        <f>ROUND('Scoring Model'!$B$4*IF(AND(F14&gt;='Scoring Model'!$B$11,F14&lt;='Scoring Model'!$B$12),1,IF(F14&gt;'Scoring Model'!$B$12,'Scoring Model'!$B$13,'Scoring Model'!$B$14))+'Scoring Model'!$B$5*IF(I14&gt;=20,1,IF(I14&gt;=10,0.8,IF(I14&gt;=5,0.6,IF(I14&gt;=2,0.4,0.15))))+'Scoring Model'!$B$6*O14+'Scoring Model'!$B$7*P14+'Scoring Model'!$B$8*Q14-'Scoring Model'!$B$9*R14,1)</f>
        <v>74</v>
      </c>
      <c r="C14" s="8" t="s">
        <v>172</v>
      </c>
      <c r="D14" s="8" t="s">
        <v>173</v>
      </c>
      <c r="E14" s="8" t="s">
        <v>174</v>
      </c>
      <c r="F14" s="10">
        <v>12100</v>
      </c>
      <c r="G14" s="10">
        <v>1324</v>
      </c>
      <c r="H14" s="10">
        <v>283</v>
      </c>
      <c r="I14" s="9">
        <f t="shared" si="1"/>
        <v>9.1389728096676741</v>
      </c>
      <c r="J14" s="8" t="s">
        <v>123</v>
      </c>
      <c r="K14" s="11" t="s">
        <v>175</v>
      </c>
      <c r="L14" s="11" t="s">
        <v>160</v>
      </c>
      <c r="M14" s="11" t="s">
        <v>176</v>
      </c>
      <c r="N14" s="11" t="s">
        <v>177</v>
      </c>
      <c r="O14" s="8">
        <v>0</v>
      </c>
      <c r="P14" s="8">
        <v>1</v>
      </c>
      <c r="Q14" s="8">
        <v>1</v>
      </c>
      <c r="R14" s="8">
        <v>0</v>
      </c>
      <c r="S14" s="8" t="s">
        <v>178</v>
      </c>
      <c r="T14" s="8" t="s">
        <v>179</v>
      </c>
      <c r="U14" s="11" t="s">
        <v>180</v>
      </c>
      <c r="V14" s="12"/>
      <c r="W14" s="12"/>
      <c r="X14" s="12"/>
    </row>
    <row r="15" spans="1:24" ht="57.95" customHeight="1">
      <c r="A15" s="8" t="str">
        <f t="shared" si="0"/>
        <v>B - second wave</v>
      </c>
      <c r="B15" s="9">
        <f>ROUND('Scoring Model'!$B$4*IF(AND(F15&gt;='Scoring Model'!$B$11,F15&lt;='Scoring Model'!$B$12),1,IF(F15&gt;'Scoring Model'!$B$12,'Scoring Model'!$B$13,'Scoring Model'!$B$14))+'Scoring Model'!$B$5*IF(I15&gt;=20,1,IF(I15&gt;=10,0.8,IF(I15&gt;=5,0.6,IF(I15&gt;=2,0.4,0.15))))+'Scoring Model'!$B$6*O15+'Scoring Model'!$B$7*P15+'Scoring Model'!$B$8*Q15-'Scoring Model'!$B$9*R15,1)</f>
        <v>74</v>
      </c>
      <c r="C15" s="8" t="s">
        <v>181</v>
      </c>
      <c r="D15" s="8" t="s">
        <v>182</v>
      </c>
      <c r="E15" s="8" t="s">
        <v>183</v>
      </c>
      <c r="F15" s="10">
        <v>11500</v>
      </c>
      <c r="G15" s="10">
        <v>1585</v>
      </c>
      <c r="H15" s="10">
        <v>874</v>
      </c>
      <c r="I15" s="9">
        <f t="shared" si="1"/>
        <v>7.2555205047318614</v>
      </c>
      <c r="J15" s="8" t="s">
        <v>123</v>
      </c>
      <c r="K15" s="11" t="s">
        <v>184</v>
      </c>
      <c r="L15" s="11" t="s">
        <v>185</v>
      </c>
      <c r="M15" s="11" t="s">
        <v>186</v>
      </c>
      <c r="N15" s="11" t="s">
        <v>187</v>
      </c>
      <c r="O15" s="8">
        <v>0</v>
      </c>
      <c r="P15" s="8">
        <v>1</v>
      </c>
      <c r="Q15" s="8">
        <v>1</v>
      </c>
      <c r="R15" s="8">
        <v>0</v>
      </c>
      <c r="S15" s="8" t="s">
        <v>188</v>
      </c>
      <c r="T15" s="8" t="s">
        <v>69</v>
      </c>
      <c r="U15" s="11" t="s">
        <v>189</v>
      </c>
      <c r="V15" s="12"/>
      <c r="W15" s="12"/>
      <c r="X15" s="12"/>
    </row>
    <row r="16" spans="1:24" ht="57.95" customHeight="1">
      <c r="A16" s="8" t="str">
        <f t="shared" si="0"/>
        <v>B - second wave</v>
      </c>
      <c r="B16" s="9">
        <f>ROUND('Scoring Model'!$B$4*IF(AND(F16&gt;='Scoring Model'!$B$11,F16&lt;='Scoring Model'!$B$12),1,IF(F16&gt;'Scoring Model'!$B$12,'Scoring Model'!$B$13,'Scoring Model'!$B$14))+'Scoring Model'!$B$5*IF(I16&gt;=20,1,IF(I16&gt;=10,0.8,IF(I16&gt;=5,0.6,IF(I16&gt;=2,0.4,0.15))))+'Scoring Model'!$B$6*O16+'Scoring Model'!$B$7*P16+'Scoring Model'!$B$8*Q16-'Scoring Model'!$B$9*R16,1)</f>
        <v>71</v>
      </c>
      <c r="C16" s="8" t="s">
        <v>190</v>
      </c>
      <c r="D16" s="8" t="s">
        <v>191</v>
      </c>
      <c r="E16" s="8" t="s">
        <v>192</v>
      </c>
      <c r="F16" s="10">
        <v>8272</v>
      </c>
      <c r="G16" s="10">
        <v>2946</v>
      </c>
      <c r="H16" s="10">
        <v>382</v>
      </c>
      <c r="I16" s="9">
        <f t="shared" si="1"/>
        <v>2.8078750848608283</v>
      </c>
      <c r="J16" s="8" t="s">
        <v>123</v>
      </c>
      <c r="K16" s="11" t="s">
        <v>193</v>
      </c>
      <c r="L16" s="11" t="s">
        <v>160</v>
      </c>
      <c r="M16" s="11" t="s">
        <v>194</v>
      </c>
      <c r="N16" s="11" t="s">
        <v>195</v>
      </c>
      <c r="O16" s="8">
        <v>0</v>
      </c>
      <c r="P16" s="8">
        <v>1</v>
      </c>
      <c r="Q16" s="8">
        <v>1</v>
      </c>
      <c r="R16" s="8">
        <v>0</v>
      </c>
      <c r="S16" s="8" t="s">
        <v>68</v>
      </c>
      <c r="T16" s="8" t="s">
        <v>69</v>
      </c>
      <c r="U16" s="11" t="s">
        <v>196</v>
      </c>
      <c r="V16" s="12"/>
      <c r="W16" s="12"/>
      <c r="X16" s="12"/>
    </row>
    <row r="17" spans="1:24" ht="57.95" customHeight="1">
      <c r="A17" s="8" t="str">
        <f t="shared" si="0"/>
        <v>B - second wave</v>
      </c>
      <c r="B17" s="9">
        <f>ROUND('Scoring Model'!$B$4*IF(AND(F17&gt;='Scoring Model'!$B$11,F17&lt;='Scoring Model'!$B$12),1,IF(F17&gt;'Scoring Model'!$B$12,'Scoring Model'!$B$13,'Scoring Model'!$B$14))+'Scoring Model'!$B$5*IF(I17&gt;=20,1,IF(I17&gt;=10,0.8,IF(I17&gt;=5,0.6,IF(I17&gt;=2,0.4,0.15))))+'Scoring Model'!$B$6*O17+'Scoring Model'!$B$7*P17+'Scoring Model'!$B$8*Q17-'Scoring Model'!$B$9*R17,1)</f>
        <v>65</v>
      </c>
      <c r="C17" s="8" t="s">
        <v>197</v>
      </c>
      <c r="D17" s="8" t="s">
        <v>198</v>
      </c>
      <c r="E17" s="8" t="s">
        <v>199</v>
      </c>
      <c r="F17" s="10">
        <v>18100</v>
      </c>
      <c r="G17" s="10">
        <v>688</v>
      </c>
      <c r="H17" s="10">
        <v>785</v>
      </c>
      <c r="I17" s="9">
        <f t="shared" si="1"/>
        <v>26.308139534883722</v>
      </c>
      <c r="J17" s="8" t="s">
        <v>123</v>
      </c>
      <c r="K17" s="11" t="s">
        <v>124</v>
      </c>
      <c r="L17" s="11"/>
      <c r="M17" s="11" t="s">
        <v>200</v>
      </c>
      <c r="N17" s="11" t="s">
        <v>68</v>
      </c>
      <c r="O17" s="8">
        <v>0</v>
      </c>
      <c r="P17" s="8">
        <v>1</v>
      </c>
      <c r="Q17" s="8">
        <v>0</v>
      </c>
      <c r="R17" s="8">
        <v>0</v>
      </c>
      <c r="S17" s="8" t="s">
        <v>68</v>
      </c>
      <c r="T17" s="8" t="s">
        <v>201</v>
      </c>
      <c r="U17" s="11" t="s">
        <v>202</v>
      </c>
      <c r="V17" s="12"/>
      <c r="W17" s="12"/>
      <c r="X17" s="12"/>
    </row>
    <row r="18" spans="1:24" ht="57.95" customHeight="1">
      <c r="A18" s="8" t="str">
        <f t="shared" si="0"/>
        <v>B - second wave</v>
      </c>
      <c r="B18" s="9">
        <f>ROUND('Scoring Model'!$B$4*IF(AND(F18&gt;='Scoring Model'!$B$11,F18&lt;='Scoring Model'!$B$12),1,IF(F18&gt;'Scoring Model'!$B$12,'Scoring Model'!$B$13,'Scoring Model'!$B$14))+'Scoring Model'!$B$5*IF(I18&gt;=20,1,IF(I18&gt;=10,0.8,IF(I18&gt;=5,0.6,IF(I18&gt;=2,0.4,0.15))))+'Scoring Model'!$B$6*O18+'Scoring Model'!$B$7*P18+'Scoring Model'!$B$8*Q18-'Scoring Model'!$B$9*R18,1)</f>
        <v>65</v>
      </c>
      <c r="C18" s="8" t="s">
        <v>203</v>
      </c>
      <c r="D18" s="8" t="s">
        <v>165</v>
      </c>
      <c r="E18" s="8" t="s">
        <v>204</v>
      </c>
      <c r="F18" s="10">
        <v>11400</v>
      </c>
      <c r="G18" s="10">
        <v>228</v>
      </c>
      <c r="H18" s="10">
        <v>554</v>
      </c>
      <c r="I18" s="9">
        <f t="shared" si="1"/>
        <v>50</v>
      </c>
      <c r="J18" s="8" t="s">
        <v>123</v>
      </c>
      <c r="K18" s="11" t="s">
        <v>205</v>
      </c>
      <c r="L18" s="11" t="s">
        <v>87</v>
      </c>
      <c r="M18" s="11" t="s">
        <v>206</v>
      </c>
      <c r="N18" s="11" t="s">
        <v>68</v>
      </c>
      <c r="O18" s="8">
        <v>0</v>
      </c>
      <c r="P18" s="8">
        <v>1</v>
      </c>
      <c r="Q18" s="8">
        <v>0</v>
      </c>
      <c r="R18" s="8">
        <v>0</v>
      </c>
      <c r="S18" s="8" t="s">
        <v>207</v>
      </c>
      <c r="T18" s="8" t="s">
        <v>118</v>
      </c>
      <c r="U18" s="11" t="s">
        <v>208</v>
      </c>
      <c r="V18" s="12"/>
      <c r="W18" s="12"/>
      <c r="X18" s="12"/>
    </row>
    <row r="19" spans="1:24" ht="57.95" customHeight="1">
      <c r="A19" s="8" t="str">
        <f t="shared" si="0"/>
        <v>B - second wave</v>
      </c>
      <c r="B19" s="9">
        <f>ROUND('Scoring Model'!$B$4*IF(AND(F19&gt;='Scoring Model'!$B$11,F19&lt;='Scoring Model'!$B$12),1,IF(F19&gt;'Scoring Model'!$B$12,'Scoring Model'!$B$13,'Scoring Model'!$B$14))+'Scoring Model'!$B$5*IF(I19&gt;=20,1,IF(I19&gt;=10,0.8,IF(I19&gt;=5,0.6,IF(I19&gt;=2,0.4,0.15))))+'Scoring Model'!$B$6*O19+'Scoring Model'!$B$7*P19+'Scoring Model'!$B$8*Q19-'Scoring Model'!$B$9*R19,1)</f>
        <v>65</v>
      </c>
      <c r="C19" s="8" t="s">
        <v>209</v>
      </c>
      <c r="D19" s="8" t="s">
        <v>210</v>
      </c>
      <c r="E19" s="8" t="s">
        <v>211</v>
      </c>
      <c r="F19" s="10">
        <v>20200</v>
      </c>
      <c r="G19" s="10">
        <v>966</v>
      </c>
      <c r="H19" s="10">
        <v>565</v>
      </c>
      <c r="I19" s="9">
        <f t="shared" si="1"/>
        <v>20.910973084886127</v>
      </c>
      <c r="J19" s="8" t="s">
        <v>212</v>
      </c>
      <c r="K19" s="11" t="s">
        <v>213</v>
      </c>
      <c r="L19" s="11"/>
      <c r="M19" s="11" t="s">
        <v>206</v>
      </c>
      <c r="N19" s="11" t="s">
        <v>68</v>
      </c>
      <c r="O19" s="8">
        <v>0</v>
      </c>
      <c r="P19" s="8">
        <v>1</v>
      </c>
      <c r="Q19" s="8">
        <v>0</v>
      </c>
      <c r="R19" s="8">
        <v>0</v>
      </c>
      <c r="S19" s="8" t="s">
        <v>214</v>
      </c>
      <c r="T19" s="8" t="s">
        <v>179</v>
      </c>
      <c r="U19" s="11" t="s">
        <v>215</v>
      </c>
      <c r="V19" s="12"/>
      <c r="W19" s="12"/>
      <c r="X19" s="12"/>
    </row>
    <row r="20" spans="1:24" ht="57.95" customHeight="1">
      <c r="A20" s="8" t="str">
        <f t="shared" si="0"/>
        <v>B - second wave</v>
      </c>
      <c r="B20" s="9">
        <f>ROUND('Scoring Model'!$B$4*IF(AND(F20&gt;='Scoring Model'!$B$11,F20&lt;='Scoring Model'!$B$12),1,IF(F20&gt;'Scoring Model'!$B$12,'Scoring Model'!$B$13,'Scoring Model'!$B$14))+'Scoring Model'!$B$5*IF(I20&gt;=20,1,IF(I20&gt;=10,0.8,IF(I20&gt;=5,0.6,IF(I20&gt;=2,0.4,0.15))))+'Scoring Model'!$B$6*O20+'Scoring Model'!$B$7*P20+'Scoring Model'!$B$8*Q20-'Scoring Model'!$B$9*R20,1)</f>
        <v>65</v>
      </c>
      <c r="C20" s="8" t="s">
        <v>216</v>
      </c>
      <c r="D20" s="8" t="s">
        <v>217</v>
      </c>
      <c r="E20" s="8" t="s">
        <v>218</v>
      </c>
      <c r="F20" s="10">
        <v>25600</v>
      </c>
      <c r="G20" s="10">
        <v>283</v>
      </c>
      <c r="H20" s="10">
        <v>215</v>
      </c>
      <c r="I20" s="9">
        <f t="shared" si="1"/>
        <v>90.459363957597176</v>
      </c>
      <c r="J20" s="8" t="s">
        <v>123</v>
      </c>
      <c r="K20" s="11" t="s">
        <v>219</v>
      </c>
      <c r="L20" s="11"/>
      <c r="M20" s="11" t="s">
        <v>220</v>
      </c>
      <c r="N20" s="11" t="s">
        <v>221</v>
      </c>
      <c r="O20" s="8">
        <v>0</v>
      </c>
      <c r="P20" s="8">
        <v>1</v>
      </c>
      <c r="Q20" s="8">
        <v>1</v>
      </c>
      <c r="R20" s="8">
        <v>0</v>
      </c>
      <c r="S20" s="8" t="s">
        <v>68</v>
      </c>
      <c r="T20" s="8" t="s">
        <v>179</v>
      </c>
      <c r="U20" s="11" t="s">
        <v>222</v>
      </c>
      <c r="V20" s="12"/>
      <c r="W20" s="12"/>
      <c r="X20" s="12"/>
    </row>
    <row r="21" spans="1:24" ht="57.95" customHeight="1">
      <c r="A21" s="8" t="str">
        <f t="shared" si="0"/>
        <v>B - second wave</v>
      </c>
      <c r="B21" s="9">
        <f>ROUND('Scoring Model'!$B$4*IF(AND(F21&gt;='Scoring Model'!$B$11,F21&lt;='Scoring Model'!$B$12),1,IF(F21&gt;'Scoring Model'!$B$12,'Scoring Model'!$B$13,'Scoring Model'!$B$14))+'Scoring Model'!$B$5*IF(I21&gt;=20,1,IF(I21&gt;=10,0.8,IF(I21&gt;=5,0.6,IF(I21&gt;=2,0.4,0.15))))+'Scoring Model'!$B$6*O21+'Scoring Model'!$B$7*P21+'Scoring Model'!$B$8*Q21-'Scoring Model'!$B$9*R21,1)</f>
        <v>65</v>
      </c>
      <c r="C21" s="8" t="s">
        <v>223</v>
      </c>
      <c r="D21" s="8" t="s">
        <v>224</v>
      </c>
      <c r="E21" s="8" t="s">
        <v>225</v>
      </c>
      <c r="F21" s="10">
        <v>29300</v>
      </c>
      <c r="G21" s="10">
        <v>1102</v>
      </c>
      <c r="H21" s="10">
        <v>1123</v>
      </c>
      <c r="I21" s="9">
        <f t="shared" si="1"/>
        <v>26.588021778584391</v>
      </c>
      <c r="J21" s="8" t="s">
        <v>226</v>
      </c>
      <c r="K21" s="11" t="s">
        <v>227</v>
      </c>
      <c r="L21" s="11"/>
      <c r="M21" s="11" t="s">
        <v>161</v>
      </c>
      <c r="N21" s="11" t="s">
        <v>228</v>
      </c>
      <c r="O21" s="8">
        <v>0</v>
      </c>
      <c r="P21" s="8">
        <v>1</v>
      </c>
      <c r="Q21" s="8">
        <v>1</v>
      </c>
      <c r="R21" s="8">
        <v>0</v>
      </c>
      <c r="S21" s="8" t="s">
        <v>229</v>
      </c>
      <c r="T21" s="8" t="s">
        <v>109</v>
      </c>
      <c r="U21" s="11" t="s">
        <v>230</v>
      </c>
      <c r="V21" s="12"/>
      <c r="W21" s="12"/>
      <c r="X21" s="12"/>
    </row>
    <row r="22" spans="1:24" ht="57.95" customHeight="1">
      <c r="A22" s="8" t="str">
        <f t="shared" si="0"/>
        <v>B - second wave</v>
      </c>
      <c r="B22" s="9">
        <f>ROUND('Scoring Model'!$B$4*IF(AND(F22&gt;='Scoring Model'!$B$11,F22&lt;='Scoring Model'!$B$12),1,IF(F22&gt;'Scoring Model'!$B$12,'Scoring Model'!$B$13,'Scoring Model'!$B$14))+'Scoring Model'!$B$5*IF(I22&gt;=20,1,IF(I22&gt;=10,0.8,IF(I22&gt;=5,0.6,IF(I22&gt;=2,0.4,0.15))))+'Scoring Model'!$B$6*O22+'Scoring Model'!$B$7*P22+'Scoring Model'!$B$8*Q22-'Scoring Model'!$B$9*R22,1)</f>
        <v>65</v>
      </c>
      <c r="C22" s="8" t="s">
        <v>231</v>
      </c>
      <c r="D22" s="8" t="s">
        <v>232</v>
      </c>
      <c r="E22" s="8" t="s">
        <v>233</v>
      </c>
      <c r="F22" s="10">
        <v>35800</v>
      </c>
      <c r="G22" s="10">
        <v>855</v>
      </c>
      <c r="H22" s="10">
        <v>1563</v>
      </c>
      <c r="I22" s="9">
        <f t="shared" si="1"/>
        <v>41.87134502923977</v>
      </c>
      <c r="J22" s="8" t="s">
        <v>123</v>
      </c>
      <c r="K22" s="11" t="s">
        <v>234</v>
      </c>
      <c r="L22" s="11"/>
      <c r="M22" s="11" t="s">
        <v>235</v>
      </c>
      <c r="N22" s="11" t="s">
        <v>236</v>
      </c>
      <c r="O22" s="8">
        <v>0</v>
      </c>
      <c r="P22" s="8">
        <v>1</v>
      </c>
      <c r="Q22" s="8">
        <v>1</v>
      </c>
      <c r="R22" s="8">
        <v>0</v>
      </c>
      <c r="S22" s="8" t="s">
        <v>237</v>
      </c>
      <c r="T22" s="8" t="s">
        <v>100</v>
      </c>
      <c r="U22" s="11" t="s">
        <v>238</v>
      </c>
      <c r="V22" s="12"/>
      <c r="W22" s="12"/>
      <c r="X22" s="12"/>
    </row>
    <row r="23" spans="1:24" ht="57.95" customHeight="1">
      <c r="A23" s="8" t="str">
        <f t="shared" si="0"/>
        <v>B - second wave</v>
      </c>
      <c r="B23" s="9">
        <f>ROUND('Scoring Model'!$B$4*IF(AND(F23&gt;='Scoring Model'!$B$11,F23&lt;='Scoring Model'!$B$12),1,IF(F23&gt;'Scoring Model'!$B$12,'Scoring Model'!$B$13,'Scoring Model'!$B$14))+'Scoring Model'!$B$5*IF(I23&gt;=20,1,IF(I23&gt;=10,0.8,IF(I23&gt;=5,0.6,IF(I23&gt;=2,0.4,0.15))))+'Scoring Model'!$B$6*O23+'Scoring Model'!$B$7*P23+'Scoring Model'!$B$8*Q23-'Scoring Model'!$B$9*R23,1)</f>
        <v>65</v>
      </c>
      <c r="C23" s="8" t="s">
        <v>239</v>
      </c>
      <c r="D23" s="8" t="s">
        <v>240</v>
      </c>
      <c r="E23" s="8" t="s">
        <v>241</v>
      </c>
      <c r="F23" s="10">
        <v>43500</v>
      </c>
      <c r="G23" s="10">
        <v>1934</v>
      </c>
      <c r="H23" s="10">
        <v>973</v>
      </c>
      <c r="I23" s="9">
        <f t="shared" si="1"/>
        <v>22.492244053774559</v>
      </c>
      <c r="J23" s="8" t="s">
        <v>123</v>
      </c>
      <c r="K23" s="11" t="s">
        <v>242</v>
      </c>
      <c r="L23" s="11"/>
      <c r="M23" s="11" t="s">
        <v>243</v>
      </c>
      <c r="N23" s="11" t="s">
        <v>244</v>
      </c>
      <c r="O23" s="8">
        <v>0</v>
      </c>
      <c r="P23" s="8">
        <v>1</v>
      </c>
      <c r="Q23" s="8">
        <v>1</v>
      </c>
      <c r="R23" s="8">
        <v>0</v>
      </c>
      <c r="S23" s="8" t="s">
        <v>245</v>
      </c>
      <c r="T23" s="8" t="s">
        <v>179</v>
      </c>
      <c r="U23" s="11" t="s">
        <v>246</v>
      </c>
      <c r="V23" s="12"/>
      <c r="W23" s="12"/>
      <c r="X23" s="12"/>
    </row>
    <row r="24" spans="1:24" ht="57.95" customHeight="1">
      <c r="A24" s="8" t="str">
        <f t="shared" si="0"/>
        <v>B - second wave</v>
      </c>
      <c r="B24" s="9">
        <f>ROUND('Scoring Model'!$B$4*IF(AND(F24&gt;='Scoring Model'!$B$11,F24&lt;='Scoring Model'!$B$12),1,IF(F24&gt;'Scoring Model'!$B$12,'Scoring Model'!$B$13,'Scoring Model'!$B$14))+'Scoring Model'!$B$5*IF(I24&gt;=20,1,IF(I24&gt;=10,0.8,IF(I24&gt;=5,0.6,IF(I24&gt;=2,0.4,0.15))))+'Scoring Model'!$B$6*O24+'Scoring Model'!$B$7*P24+'Scoring Model'!$B$8*Q24-'Scoring Model'!$B$9*R24,1)</f>
        <v>62</v>
      </c>
      <c r="C24" s="8" t="s">
        <v>247</v>
      </c>
      <c r="D24" s="8" t="s">
        <v>248</v>
      </c>
      <c r="E24" s="8" t="s">
        <v>249</v>
      </c>
      <c r="F24" s="10">
        <v>9080</v>
      </c>
      <c r="G24" s="10">
        <v>871</v>
      </c>
      <c r="H24" s="10">
        <v>328</v>
      </c>
      <c r="I24" s="9">
        <f t="shared" si="1"/>
        <v>10.4247990815155</v>
      </c>
      <c r="J24" s="8" t="s">
        <v>250</v>
      </c>
      <c r="K24" s="11" t="s">
        <v>251</v>
      </c>
      <c r="L24" s="11"/>
      <c r="M24" s="11" t="s">
        <v>77</v>
      </c>
      <c r="N24" s="11" t="s">
        <v>98</v>
      </c>
      <c r="O24" s="8">
        <v>0</v>
      </c>
      <c r="P24" s="8">
        <v>1</v>
      </c>
      <c r="Q24" s="8">
        <v>0</v>
      </c>
      <c r="R24" s="8">
        <v>0</v>
      </c>
      <c r="S24" s="8" t="s">
        <v>68</v>
      </c>
      <c r="T24" s="8" t="s">
        <v>69</v>
      </c>
      <c r="U24" s="11" t="s">
        <v>252</v>
      </c>
      <c r="V24" s="12"/>
      <c r="W24" s="12"/>
      <c r="X24" s="12"/>
    </row>
    <row r="25" spans="1:24" ht="57.95" customHeight="1">
      <c r="A25" s="8" t="str">
        <f t="shared" si="0"/>
        <v>B - second wave</v>
      </c>
      <c r="B25" s="9">
        <f>ROUND('Scoring Model'!$B$4*IF(AND(F25&gt;='Scoring Model'!$B$11,F25&lt;='Scoring Model'!$B$12),1,IF(F25&gt;'Scoring Model'!$B$12,'Scoring Model'!$B$13,'Scoring Model'!$B$14))+'Scoring Model'!$B$5*IF(I25&gt;=20,1,IF(I25&gt;=10,0.8,IF(I25&gt;=5,0.6,IF(I25&gt;=2,0.4,0.15))))+'Scoring Model'!$B$6*O25+'Scoring Model'!$B$7*P25+'Scoring Model'!$B$8*Q25-'Scoring Model'!$B$9*R25,1)</f>
        <v>62</v>
      </c>
      <c r="C25" s="8" t="s">
        <v>253</v>
      </c>
      <c r="D25" s="8" t="s">
        <v>254</v>
      </c>
      <c r="E25" s="8" t="s">
        <v>255</v>
      </c>
      <c r="F25" s="10">
        <v>7403</v>
      </c>
      <c r="G25" s="10">
        <v>508</v>
      </c>
      <c r="H25" s="10">
        <v>499</v>
      </c>
      <c r="I25" s="9">
        <f t="shared" si="1"/>
        <v>14.572834645669291</v>
      </c>
      <c r="J25" s="8" t="s">
        <v>123</v>
      </c>
      <c r="K25" s="11" t="s">
        <v>256</v>
      </c>
      <c r="L25" s="11"/>
      <c r="M25" s="11" t="s">
        <v>257</v>
      </c>
      <c r="N25" s="11" t="s">
        <v>68</v>
      </c>
      <c r="O25" s="8">
        <v>0</v>
      </c>
      <c r="P25" s="8">
        <v>1</v>
      </c>
      <c r="Q25" s="8">
        <v>0</v>
      </c>
      <c r="R25" s="8">
        <v>0</v>
      </c>
      <c r="S25" s="8" t="s">
        <v>68</v>
      </c>
      <c r="T25" s="8" t="s">
        <v>118</v>
      </c>
      <c r="U25" s="11" t="s">
        <v>258</v>
      </c>
      <c r="V25" s="12"/>
      <c r="W25" s="12"/>
      <c r="X25" s="12"/>
    </row>
    <row r="26" spans="1:24" ht="57.95" customHeight="1">
      <c r="A26" s="8" t="str">
        <f t="shared" si="0"/>
        <v>B - second wave</v>
      </c>
      <c r="B26" s="9">
        <f>ROUND('Scoring Model'!$B$4*IF(AND(F26&gt;='Scoring Model'!$B$11,F26&lt;='Scoring Model'!$B$12),1,IF(F26&gt;'Scoring Model'!$B$12,'Scoring Model'!$B$13,'Scoring Model'!$B$14))+'Scoring Model'!$B$5*IF(I26&gt;=20,1,IF(I26&gt;=10,0.8,IF(I26&gt;=5,0.6,IF(I26&gt;=2,0.4,0.15))))+'Scoring Model'!$B$6*O26+'Scoring Model'!$B$7*P26+'Scoring Model'!$B$8*Q26-'Scoring Model'!$B$9*R26,1)</f>
        <v>59</v>
      </c>
      <c r="C26" s="8" t="s">
        <v>259</v>
      </c>
      <c r="D26" s="8" t="s">
        <v>260</v>
      </c>
      <c r="E26" s="8" t="s">
        <v>261</v>
      </c>
      <c r="F26" s="10">
        <v>12800</v>
      </c>
      <c r="G26" s="10">
        <v>1388</v>
      </c>
      <c r="H26" s="10">
        <v>344</v>
      </c>
      <c r="I26" s="9">
        <f t="shared" si="1"/>
        <v>9.2219020172910664</v>
      </c>
      <c r="J26" s="8" t="s">
        <v>123</v>
      </c>
      <c r="K26" s="11" t="s">
        <v>262</v>
      </c>
      <c r="L26" s="11"/>
      <c r="M26" s="11" t="s">
        <v>263</v>
      </c>
      <c r="N26" s="11" t="s">
        <v>68</v>
      </c>
      <c r="O26" s="8">
        <v>0</v>
      </c>
      <c r="P26" s="8">
        <v>1</v>
      </c>
      <c r="Q26" s="8">
        <v>0</v>
      </c>
      <c r="R26" s="8">
        <v>0</v>
      </c>
      <c r="S26" s="8" t="s">
        <v>68</v>
      </c>
      <c r="T26" s="8" t="s">
        <v>100</v>
      </c>
      <c r="U26" s="11" t="s">
        <v>264</v>
      </c>
      <c r="V26" s="12"/>
      <c r="W26" s="12"/>
      <c r="X26" s="12"/>
    </row>
    <row r="27" spans="1:24" ht="57.95" customHeight="1">
      <c r="A27" s="8" t="str">
        <f t="shared" si="0"/>
        <v>B - second wave</v>
      </c>
      <c r="B27" s="9">
        <f>ROUND('Scoring Model'!$B$4*IF(AND(F27&gt;='Scoring Model'!$B$11,F27&lt;='Scoring Model'!$B$12),1,IF(F27&gt;'Scoring Model'!$B$12,'Scoring Model'!$B$13,'Scoring Model'!$B$14))+'Scoring Model'!$B$5*IF(I27&gt;=20,1,IF(I27&gt;=10,0.8,IF(I27&gt;=5,0.6,IF(I27&gt;=2,0.4,0.15))))+'Scoring Model'!$B$6*O27+'Scoring Model'!$B$7*P27+'Scoring Model'!$B$8*Q27-'Scoring Model'!$B$9*R27,1)</f>
        <v>56</v>
      </c>
      <c r="C27" s="8" t="s">
        <v>265</v>
      </c>
      <c r="D27" s="8" t="s">
        <v>266</v>
      </c>
      <c r="E27" s="8" t="s">
        <v>267</v>
      </c>
      <c r="F27" s="10">
        <v>5474</v>
      </c>
      <c r="G27" s="10">
        <v>2457</v>
      </c>
      <c r="H27" s="10">
        <v>178</v>
      </c>
      <c r="I27" s="9">
        <f t="shared" si="1"/>
        <v>2.2279202279202277</v>
      </c>
      <c r="J27" s="8" t="s">
        <v>268</v>
      </c>
      <c r="K27" s="11" t="s">
        <v>269</v>
      </c>
      <c r="L27" s="11"/>
      <c r="M27" s="11" t="s">
        <v>270</v>
      </c>
      <c r="N27" s="11" t="s">
        <v>271</v>
      </c>
      <c r="O27" s="8">
        <v>0</v>
      </c>
      <c r="P27" s="8">
        <v>1</v>
      </c>
      <c r="Q27" s="8">
        <v>0</v>
      </c>
      <c r="R27" s="8">
        <v>0</v>
      </c>
      <c r="S27" s="8" t="s">
        <v>68</v>
      </c>
      <c r="T27" s="8" t="s">
        <v>162</v>
      </c>
      <c r="U27" s="11" t="s">
        <v>272</v>
      </c>
      <c r="V27" s="12"/>
      <c r="W27" s="12"/>
      <c r="X27" s="12"/>
    </row>
    <row r="28" spans="1:24" ht="57.95" customHeight="1">
      <c r="A28" s="8" t="str">
        <f t="shared" si="0"/>
        <v>C - watchlist</v>
      </c>
      <c r="B28" s="9">
        <f>ROUND('Scoring Model'!$B$4*IF(AND(F28&gt;='Scoring Model'!$B$11,F28&lt;='Scoring Model'!$B$12),1,IF(F28&gt;'Scoring Model'!$B$12,'Scoring Model'!$B$13,'Scoring Model'!$B$14))+'Scoring Model'!$B$5*IF(I28&gt;=20,1,IF(I28&gt;=10,0.8,IF(I28&gt;=5,0.6,IF(I28&gt;=2,0.4,0.15))))+'Scoring Model'!$B$6*O28+'Scoring Model'!$B$7*P28+'Scoring Model'!$B$8*Q28-'Scoring Model'!$B$9*R28,1)</f>
        <v>50</v>
      </c>
      <c r="C28" s="8" t="s">
        <v>273</v>
      </c>
      <c r="D28" s="8" t="s">
        <v>274</v>
      </c>
      <c r="E28" s="8" t="s">
        <v>275</v>
      </c>
      <c r="F28" s="10">
        <v>39900</v>
      </c>
      <c r="G28" s="10">
        <v>1012</v>
      </c>
      <c r="H28" s="10">
        <v>943</v>
      </c>
      <c r="I28" s="9">
        <f t="shared" si="1"/>
        <v>39.426877470355734</v>
      </c>
      <c r="J28" s="8" t="s">
        <v>123</v>
      </c>
      <c r="K28" s="11" t="s">
        <v>276</v>
      </c>
      <c r="L28" s="11"/>
      <c r="M28" s="11" t="s">
        <v>277</v>
      </c>
      <c r="N28" s="11" t="s">
        <v>68</v>
      </c>
      <c r="O28" s="8">
        <v>0</v>
      </c>
      <c r="P28" s="8">
        <v>1</v>
      </c>
      <c r="Q28" s="8">
        <v>0</v>
      </c>
      <c r="R28" s="8">
        <v>0</v>
      </c>
      <c r="S28" s="8" t="s">
        <v>278</v>
      </c>
      <c r="T28" s="8" t="s">
        <v>69</v>
      </c>
      <c r="U28" s="11" t="s">
        <v>279</v>
      </c>
      <c r="V28" s="12"/>
      <c r="W28" s="12"/>
      <c r="X28" s="12"/>
    </row>
    <row r="29" spans="1:24" ht="57.95" customHeight="1">
      <c r="A29" s="8" t="str">
        <f t="shared" si="0"/>
        <v>C - watchlist</v>
      </c>
      <c r="B29" s="9">
        <f>ROUND('Scoring Model'!$B$4*IF(AND(F29&gt;='Scoring Model'!$B$11,F29&lt;='Scoring Model'!$B$12),1,IF(F29&gt;'Scoring Model'!$B$12,'Scoring Model'!$B$13,'Scoring Model'!$B$14))+'Scoring Model'!$B$5*IF(I29&gt;=20,1,IF(I29&gt;=10,0.8,IF(I29&gt;=5,0.6,IF(I29&gt;=2,0.4,0.15))))+'Scoring Model'!$B$6*O29+'Scoring Model'!$B$7*P29+'Scoring Model'!$B$8*Q29-'Scoring Model'!$B$9*R29,1)</f>
        <v>50</v>
      </c>
      <c r="C29" s="8" t="s">
        <v>280</v>
      </c>
      <c r="D29" s="8" t="s">
        <v>165</v>
      </c>
      <c r="E29" s="8" t="s">
        <v>281</v>
      </c>
      <c r="F29" s="10">
        <v>4558</v>
      </c>
      <c r="G29" s="10">
        <v>673</v>
      </c>
      <c r="H29" s="10">
        <v>64</v>
      </c>
      <c r="I29" s="9">
        <f t="shared" si="1"/>
        <v>6.7726597325408617</v>
      </c>
      <c r="J29" s="8" t="s">
        <v>123</v>
      </c>
      <c r="K29" s="11" t="s">
        <v>282</v>
      </c>
      <c r="L29" s="11"/>
      <c r="M29" s="11" t="s">
        <v>283</v>
      </c>
      <c r="N29" s="11" t="s">
        <v>284</v>
      </c>
      <c r="O29" s="8">
        <v>0</v>
      </c>
      <c r="P29" s="8">
        <v>1</v>
      </c>
      <c r="Q29" s="8">
        <v>1</v>
      </c>
      <c r="R29" s="8">
        <v>0</v>
      </c>
      <c r="S29" s="8" t="s">
        <v>68</v>
      </c>
      <c r="T29" s="8" t="s">
        <v>118</v>
      </c>
      <c r="U29" s="11" t="s">
        <v>285</v>
      </c>
      <c r="V29" s="12"/>
      <c r="W29" s="12"/>
      <c r="X29" s="12"/>
    </row>
    <row r="30" spans="1:24" ht="57.95" customHeight="1">
      <c r="A30" s="8" t="str">
        <f t="shared" si="0"/>
        <v>C - watchlist</v>
      </c>
      <c r="B30" s="9">
        <f>ROUND('Scoring Model'!$B$4*IF(AND(F30&gt;='Scoring Model'!$B$11,F30&lt;='Scoring Model'!$B$12),1,IF(F30&gt;'Scoring Model'!$B$12,'Scoring Model'!$B$13,'Scoring Model'!$B$14))+'Scoring Model'!$B$5*IF(I30&gt;=20,1,IF(I30&gt;=10,0.8,IF(I30&gt;=5,0.6,IF(I30&gt;=2,0.4,0.15))))+'Scoring Model'!$B$6*O30+'Scoring Model'!$B$7*P30+'Scoring Model'!$B$8*Q30-'Scoring Model'!$B$9*R30,1)</f>
        <v>45</v>
      </c>
      <c r="C30" s="8" t="s">
        <v>286</v>
      </c>
      <c r="D30" s="8" t="s">
        <v>287</v>
      </c>
      <c r="E30" s="8" t="s">
        <v>288</v>
      </c>
      <c r="F30" s="10">
        <v>63100</v>
      </c>
      <c r="G30" s="10">
        <v>1986</v>
      </c>
      <c r="H30" s="10">
        <v>1572</v>
      </c>
      <c r="I30" s="9">
        <f t="shared" si="1"/>
        <v>31.772406847935549</v>
      </c>
      <c r="J30" s="8" t="s">
        <v>123</v>
      </c>
      <c r="K30" s="11" t="s">
        <v>256</v>
      </c>
      <c r="L30" s="11"/>
      <c r="M30" s="11" t="s">
        <v>289</v>
      </c>
      <c r="N30" s="11" t="s">
        <v>290</v>
      </c>
      <c r="O30" s="8">
        <v>0</v>
      </c>
      <c r="P30" s="8">
        <v>0</v>
      </c>
      <c r="Q30" s="8">
        <v>1</v>
      </c>
      <c r="R30" s="8">
        <v>0</v>
      </c>
      <c r="S30" s="8" t="s">
        <v>291</v>
      </c>
      <c r="T30" s="8" t="s">
        <v>100</v>
      </c>
      <c r="U30" s="11" t="s">
        <v>292</v>
      </c>
      <c r="V30" s="12"/>
      <c r="W30" s="12"/>
      <c r="X30" s="12"/>
    </row>
    <row r="31" spans="1:24" ht="57.95" customHeight="1">
      <c r="A31" s="8" t="str">
        <f t="shared" si="0"/>
        <v>C - watchlist</v>
      </c>
      <c r="B31" s="9">
        <f>ROUND('Scoring Model'!$B$4*IF(AND(F31&gt;='Scoring Model'!$B$11,F31&lt;='Scoring Model'!$B$12),1,IF(F31&gt;'Scoring Model'!$B$12,'Scoring Model'!$B$13,'Scoring Model'!$B$14))+'Scoring Model'!$B$5*IF(I31&gt;=20,1,IF(I31&gt;=10,0.8,IF(I31&gt;=5,0.6,IF(I31&gt;=2,0.4,0.15))))+'Scoring Model'!$B$6*O31+'Scoring Model'!$B$7*P31+'Scoring Model'!$B$8*Q31-'Scoring Model'!$B$9*R31,1)</f>
        <v>42</v>
      </c>
      <c r="C31" s="8" t="s">
        <v>293</v>
      </c>
      <c r="D31" s="8" t="s">
        <v>294</v>
      </c>
      <c r="E31" s="8" t="s">
        <v>295</v>
      </c>
      <c r="F31" s="10">
        <v>6287</v>
      </c>
      <c r="G31" s="10">
        <v>528</v>
      </c>
      <c r="H31" s="10">
        <v>178</v>
      </c>
      <c r="I31" s="9">
        <f t="shared" si="1"/>
        <v>11.907196969696969</v>
      </c>
      <c r="J31" s="8" t="s">
        <v>123</v>
      </c>
      <c r="K31" s="11" t="s">
        <v>296</v>
      </c>
      <c r="L31" s="11"/>
      <c r="M31" s="11" t="s">
        <v>161</v>
      </c>
      <c r="N31" s="11" t="s">
        <v>297</v>
      </c>
      <c r="O31" s="8">
        <v>0</v>
      </c>
      <c r="P31" s="8">
        <v>1</v>
      </c>
      <c r="Q31" s="8">
        <v>0</v>
      </c>
      <c r="R31" s="8">
        <v>1</v>
      </c>
      <c r="S31" s="8" t="s">
        <v>68</v>
      </c>
      <c r="T31" s="8" t="s">
        <v>136</v>
      </c>
      <c r="U31" s="11" t="s">
        <v>298</v>
      </c>
      <c r="V31" s="12"/>
      <c r="W31" s="12"/>
      <c r="X31" s="12"/>
    </row>
    <row r="32" spans="1:24" ht="57.95" customHeight="1">
      <c r="A32" s="8" t="str">
        <f t="shared" si="0"/>
        <v>C - watchlist</v>
      </c>
      <c r="B32" s="9">
        <f>ROUND('Scoring Model'!$B$4*IF(AND(F32&gt;='Scoring Model'!$B$11,F32&lt;='Scoring Model'!$B$12),1,IF(F32&gt;'Scoring Model'!$B$12,'Scoring Model'!$B$13,'Scoring Model'!$B$14))+'Scoring Model'!$B$5*IF(I32&gt;=20,1,IF(I32&gt;=10,0.8,IF(I32&gt;=5,0.6,IF(I32&gt;=2,0.4,0.15))))+'Scoring Model'!$B$6*O32+'Scoring Model'!$B$7*P32+'Scoring Model'!$B$8*Q32-'Scoring Model'!$B$9*R32,1)</f>
        <v>41</v>
      </c>
      <c r="C32" s="8" t="s">
        <v>299</v>
      </c>
      <c r="D32" s="8" t="s">
        <v>300</v>
      </c>
      <c r="E32" s="8" t="s">
        <v>301</v>
      </c>
      <c r="F32" s="10">
        <v>4355</v>
      </c>
      <c r="G32" s="10">
        <v>187</v>
      </c>
      <c r="H32" s="10">
        <v>1073</v>
      </c>
      <c r="I32" s="9">
        <f t="shared" si="1"/>
        <v>23.288770053475936</v>
      </c>
      <c r="J32" s="8" t="s">
        <v>123</v>
      </c>
      <c r="K32" s="11" t="s">
        <v>302</v>
      </c>
      <c r="L32" s="11"/>
      <c r="M32" s="11" t="s">
        <v>303</v>
      </c>
      <c r="N32" s="11" t="s">
        <v>68</v>
      </c>
      <c r="O32" s="8">
        <v>0</v>
      </c>
      <c r="P32" s="8">
        <v>1</v>
      </c>
      <c r="Q32" s="8">
        <v>0</v>
      </c>
      <c r="R32" s="8">
        <v>0</v>
      </c>
      <c r="S32" s="8" t="s">
        <v>304</v>
      </c>
      <c r="T32" s="8" t="s">
        <v>305</v>
      </c>
      <c r="U32" s="11" t="s">
        <v>306</v>
      </c>
      <c r="V32" s="12"/>
      <c r="W32" s="12"/>
      <c r="X32" s="12"/>
    </row>
    <row r="33" spans="1:24" ht="57.95" customHeight="1">
      <c r="A33" s="8" t="str">
        <f t="shared" si="0"/>
        <v>C - watchlist</v>
      </c>
      <c r="B33" s="9">
        <f>ROUND('Scoring Model'!$B$4*IF(AND(F33&gt;='Scoring Model'!$B$11,F33&lt;='Scoring Model'!$B$12),1,IF(F33&gt;'Scoring Model'!$B$12,'Scoring Model'!$B$13,'Scoring Model'!$B$14))+'Scoring Model'!$B$5*IF(I33&gt;=20,1,IF(I33&gt;=10,0.8,IF(I33&gt;=5,0.6,IF(I33&gt;=2,0.4,0.15))))+'Scoring Model'!$B$6*O33+'Scoring Model'!$B$7*P33+'Scoring Model'!$B$8*Q33-'Scoring Model'!$B$9*R33,1)</f>
        <v>39</v>
      </c>
      <c r="C33" s="8" t="s">
        <v>307</v>
      </c>
      <c r="D33" s="8" t="s">
        <v>308</v>
      </c>
      <c r="E33" s="8" t="s">
        <v>309</v>
      </c>
      <c r="F33" s="10">
        <v>7841</v>
      </c>
      <c r="G33" s="10">
        <v>1028</v>
      </c>
      <c r="H33" s="10">
        <v>2838</v>
      </c>
      <c r="I33" s="9">
        <f t="shared" si="1"/>
        <v>7.6274319066147864</v>
      </c>
      <c r="J33" s="8" t="s">
        <v>123</v>
      </c>
      <c r="K33" s="11" t="s">
        <v>310</v>
      </c>
      <c r="L33" s="11"/>
      <c r="M33" s="11" t="s">
        <v>311</v>
      </c>
      <c r="N33" s="11" t="s">
        <v>312</v>
      </c>
      <c r="O33" s="8">
        <v>0</v>
      </c>
      <c r="P33" s="8">
        <v>0</v>
      </c>
      <c r="Q33" s="8">
        <v>0</v>
      </c>
      <c r="R33" s="8">
        <v>0</v>
      </c>
      <c r="S33" s="8" t="s">
        <v>68</v>
      </c>
      <c r="T33" s="8" t="s">
        <v>305</v>
      </c>
      <c r="U33" s="11" t="s">
        <v>313</v>
      </c>
      <c r="V33" s="12"/>
      <c r="W33" s="12"/>
      <c r="X33" s="12"/>
    </row>
    <row r="34" spans="1:24" ht="57.95" customHeight="1">
      <c r="A34" s="8" t="str">
        <f t="shared" si="0"/>
        <v>C - watchlist</v>
      </c>
      <c r="B34" s="9">
        <f>ROUND('Scoring Model'!$B$4*IF(AND(F34&gt;='Scoring Model'!$B$11,F34&lt;='Scoring Model'!$B$12),1,IF(F34&gt;'Scoring Model'!$B$12,'Scoring Model'!$B$13,'Scoring Model'!$B$14))+'Scoring Model'!$B$5*IF(I34&gt;=20,1,IF(I34&gt;=10,0.8,IF(I34&gt;=5,0.6,IF(I34&gt;=2,0.4,0.15))))+'Scoring Model'!$B$6*O34+'Scoring Model'!$B$7*P34+'Scoring Model'!$B$8*Q34-'Scoring Model'!$B$9*R34,1)</f>
        <v>35</v>
      </c>
      <c r="C34" s="8" t="s">
        <v>314</v>
      </c>
      <c r="D34" s="8" t="s">
        <v>315</v>
      </c>
      <c r="E34" s="8" t="s">
        <v>316</v>
      </c>
      <c r="F34" s="10">
        <v>2473</v>
      </c>
      <c r="G34" s="10">
        <v>375</v>
      </c>
      <c r="H34" s="10">
        <v>222</v>
      </c>
      <c r="I34" s="9">
        <f t="shared" si="1"/>
        <v>6.5946666666666669</v>
      </c>
      <c r="J34" s="8" t="s">
        <v>317</v>
      </c>
      <c r="K34" s="11" t="s">
        <v>318</v>
      </c>
      <c r="L34" s="11"/>
      <c r="M34" s="11" t="s">
        <v>200</v>
      </c>
      <c r="N34" s="11" t="s">
        <v>68</v>
      </c>
      <c r="O34" s="8">
        <v>0</v>
      </c>
      <c r="P34" s="8">
        <v>1</v>
      </c>
      <c r="Q34" s="8">
        <v>0</v>
      </c>
      <c r="R34" s="8">
        <v>0</v>
      </c>
      <c r="S34" s="8" t="s">
        <v>68</v>
      </c>
      <c r="T34" s="8" t="s">
        <v>136</v>
      </c>
      <c r="U34" s="11" t="s">
        <v>319</v>
      </c>
      <c r="V34" s="12"/>
      <c r="W34" s="12"/>
      <c r="X34" s="12"/>
    </row>
    <row r="35" spans="1:24" ht="57.95" customHeight="1">
      <c r="A35" s="8" t="str">
        <f t="shared" si="0"/>
        <v>D - not now</v>
      </c>
      <c r="B35" s="9">
        <f>ROUND('Scoring Model'!$B$4*IF(AND(F35&gt;='Scoring Model'!$B$11,F35&lt;='Scoring Model'!$B$12),1,IF(F35&gt;'Scoring Model'!$B$12,'Scoring Model'!$B$13,'Scoring Model'!$B$14))+'Scoring Model'!$B$5*IF(I35&gt;=20,1,IF(I35&gt;=10,0.8,IF(I35&gt;=5,0.6,IF(I35&gt;=2,0.4,0.15))))+'Scoring Model'!$B$6*O35+'Scoring Model'!$B$7*P35+'Scoring Model'!$B$8*Q35-'Scoring Model'!$B$9*R35,1)</f>
        <v>28.3</v>
      </c>
      <c r="C35" s="8" t="s">
        <v>320</v>
      </c>
      <c r="D35" s="8" t="s">
        <v>321</v>
      </c>
      <c r="E35" s="8" t="s">
        <v>322</v>
      </c>
      <c r="F35" s="10">
        <v>408</v>
      </c>
      <c r="G35" s="10">
        <v>2394</v>
      </c>
      <c r="H35" s="10">
        <v>80</v>
      </c>
      <c r="I35" s="9">
        <f t="shared" si="1"/>
        <v>0.17042606516290726</v>
      </c>
      <c r="J35" s="8" t="s">
        <v>323</v>
      </c>
      <c r="K35" s="11" t="s">
        <v>324</v>
      </c>
      <c r="L35" s="11"/>
      <c r="M35" s="11" t="s">
        <v>325</v>
      </c>
      <c r="N35" s="11" t="s">
        <v>68</v>
      </c>
      <c r="O35" s="8">
        <v>1</v>
      </c>
      <c r="P35" s="8">
        <v>0</v>
      </c>
      <c r="Q35" s="8">
        <v>0</v>
      </c>
      <c r="R35" s="8">
        <v>0</v>
      </c>
      <c r="S35" s="8" t="s">
        <v>326</v>
      </c>
      <c r="T35" s="8" t="s">
        <v>327</v>
      </c>
      <c r="U35" s="11" t="s">
        <v>328</v>
      </c>
      <c r="V35" s="12"/>
      <c r="W35" s="12"/>
      <c r="X35" s="12"/>
    </row>
    <row r="36" spans="1:24" ht="57.95" customHeight="1">
      <c r="A36" s="8" t="str">
        <f t="shared" si="0"/>
        <v>D - not now</v>
      </c>
      <c r="B36" s="9">
        <f>ROUND('Scoring Model'!$B$4*IF(AND(F36&gt;='Scoring Model'!$B$11,F36&lt;='Scoring Model'!$B$12),1,IF(F36&gt;'Scoring Model'!$B$12,'Scoring Model'!$B$13,'Scoring Model'!$B$14))+'Scoring Model'!$B$5*IF(I36&gt;=20,1,IF(I36&gt;=10,0.8,IF(I36&gt;=5,0.6,IF(I36&gt;=2,0.4,0.15))))+'Scoring Model'!$B$6*O36+'Scoring Model'!$B$7*P36+'Scoring Model'!$B$8*Q36-'Scoring Model'!$B$9*R36,1)</f>
        <v>12</v>
      </c>
      <c r="C36" s="8" t="s">
        <v>329</v>
      </c>
      <c r="D36" s="8" t="s">
        <v>330</v>
      </c>
      <c r="E36" s="8" t="s">
        <v>331</v>
      </c>
      <c r="F36" s="10">
        <v>4717</v>
      </c>
      <c r="G36" s="10">
        <v>1262</v>
      </c>
      <c r="H36" s="10">
        <v>307</v>
      </c>
      <c r="I36" s="9">
        <f t="shared" si="1"/>
        <v>3.7377179080824088</v>
      </c>
      <c r="J36" s="8" t="s">
        <v>123</v>
      </c>
      <c r="K36" s="11" t="s">
        <v>332</v>
      </c>
      <c r="L36" s="11"/>
      <c r="M36" s="11" t="s">
        <v>333</v>
      </c>
      <c r="N36" s="11" t="s">
        <v>334</v>
      </c>
      <c r="O36" s="8">
        <v>0</v>
      </c>
      <c r="P36" s="8">
        <v>0</v>
      </c>
      <c r="Q36" s="8">
        <v>0</v>
      </c>
      <c r="R36" s="8">
        <v>0</v>
      </c>
      <c r="S36" s="8" t="s">
        <v>68</v>
      </c>
      <c r="T36" s="8" t="s">
        <v>179</v>
      </c>
      <c r="U36" s="11" t="s">
        <v>335</v>
      </c>
      <c r="V36" s="12"/>
      <c r="W36" s="12"/>
      <c r="X36" s="12"/>
    </row>
    <row r="37" spans="1:24" ht="57.95" customHeight="1">
      <c r="A37" s="8" t="str">
        <f t="shared" si="0"/>
        <v>D - not now</v>
      </c>
      <c r="B37" s="9">
        <f>ROUND('Scoring Model'!$B$4*IF(AND(F37&gt;='Scoring Model'!$B$11,F37&lt;='Scoring Model'!$B$12),1,IF(F37&gt;'Scoring Model'!$B$12,'Scoring Model'!$B$13,'Scoring Model'!$B$14))+'Scoring Model'!$B$5*IF(I37&gt;=20,1,IF(I37&gt;=10,0.8,IF(I37&gt;=5,0.6,IF(I37&gt;=2,0.4,0.15))))+'Scoring Model'!$B$6*O37+'Scoring Model'!$B$7*P37+'Scoring Model'!$B$8*Q37-'Scoring Model'!$B$9*R37,1)</f>
        <v>8.3000000000000007</v>
      </c>
      <c r="C37" s="8" t="s">
        <v>336</v>
      </c>
      <c r="D37" s="8" t="s">
        <v>337</v>
      </c>
      <c r="E37" s="8" t="s">
        <v>338</v>
      </c>
      <c r="F37" s="10">
        <v>407</v>
      </c>
      <c r="G37" s="10">
        <v>293</v>
      </c>
      <c r="H37" s="10">
        <v>43</v>
      </c>
      <c r="I37" s="9">
        <f t="shared" si="1"/>
        <v>1.3890784982935154</v>
      </c>
      <c r="J37" s="8" t="s">
        <v>123</v>
      </c>
      <c r="K37" s="11" t="s">
        <v>339</v>
      </c>
      <c r="L37" s="11"/>
      <c r="M37" s="11" t="s">
        <v>340</v>
      </c>
      <c r="N37" s="11" t="s">
        <v>68</v>
      </c>
      <c r="O37" s="8">
        <v>0</v>
      </c>
      <c r="P37" s="8">
        <v>0</v>
      </c>
      <c r="Q37" s="8">
        <v>0</v>
      </c>
      <c r="R37" s="8">
        <v>0</v>
      </c>
      <c r="S37" s="8" t="s">
        <v>68</v>
      </c>
      <c r="T37" s="8" t="s">
        <v>162</v>
      </c>
      <c r="U37" s="11" t="s">
        <v>341</v>
      </c>
      <c r="V37" s="12"/>
      <c r="W37" s="12"/>
      <c r="X37" s="12"/>
    </row>
    <row r="39" spans="1:24">
      <c r="A39" s="13" t="s">
        <v>342</v>
      </c>
    </row>
    <row r="40" spans="1:24">
      <c r="A40" s="13" t="s">
        <v>343</v>
      </c>
    </row>
    <row r="41" spans="1:24">
      <c r="A41" s="13" t="s">
        <v>344</v>
      </c>
    </row>
  </sheetData>
  <autoFilter ref="A1:X37" xr:uid="{00000000-0009-0000-0000-000001000000}"/>
  <hyperlinks>
    <hyperlink ref="E2" r:id="rId1" xr:uid="{2135F13C-CC26-45B1-8C93-6BAA3A5309A4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defaultRowHeight="15"/>
  <cols>
    <col min="1" max="1" width="44" customWidth="1"/>
    <col min="2" max="2" width="12" customWidth="1"/>
    <col min="3" max="3" width="95" customWidth="1"/>
  </cols>
  <sheetData>
    <row r="1" spans="1:3" ht="16.5">
      <c r="A1" s="14" t="s">
        <v>345</v>
      </c>
    </row>
    <row r="2" spans="1:3">
      <c r="A2" s="15" t="s">
        <v>346</v>
      </c>
    </row>
    <row r="4" spans="1:3">
      <c r="A4" s="4" t="s">
        <v>347</v>
      </c>
      <c r="B4" s="6">
        <v>30</v>
      </c>
      <c r="C4" s="13" t="s">
        <v>348</v>
      </c>
    </row>
    <row r="5" spans="1:3">
      <c r="A5" s="4" t="s">
        <v>349</v>
      </c>
      <c r="B5" s="6">
        <v>15</v>
      </c>
      <c r="C5" s="13" t="s">
        <v>350</v>
      </c>
    </row>
    <row r="6" spans="1:3">
      <c r="A6" s="4" t="s">
        <v>351</v>
      </c>
      <c r="B6" s="6">
        <v>20</v>
      </c>
      <c r="C6" s="13" t="s">
        <v>352</v>
      </c>
    </row>
    <row r="7" spans="1:3">
      <c r="A7" s="4" t="s">
        <v>353</v>
      </c>
      <c r="B7" s="6">
        <v>20</v>
      </c>
      <c r="C7" s="13" t="s">
        <v>354</v>
      </c>
    </row>
    <row r="8" spans="1:3">
      <c r="A8" s="4" t="s">
        <v>355</v>
      </c>
      <c r="B8" s="6">
        <v>15</v>
      </c>
      <c r="C8" s="13" t="s">
        <v>356</v>
      </c>
    </row>
    <row r="9" spans="1:3">
      <c r="A9" s="4" t="s">
        <v>357</v>
      </c>
      <c r="B9" s="6">
        <v>20</v>
      </c>
      <c r="C9" s="13" t="s">
        <v>358</v>
      </c>
    </row>
    <row r="10" spans="1:3">
      <c r="A10" s="16" t="s">
        <v>359</v>
      </c>
    </row>
    <row r="11" spans="1:3">
      <c r="A11" s="4" t="s">
        <v>360</v>
      </c>
      <c r="B11" s="6">
        <v>5000</v>
      </c>
      <c r="C11" s="13" t="s">
        <v>361</v>
      </c>
    </row>
    <row r="12" spans="1:3">
      <c r="A12" s="4" t="s">
        <v>362</v>
      </c>
      <c r="B12" s="6">
        <v>25000</v>
      </c>
      <c r="C12" s="13" t="s">
        <v>363</v>
      </c>
    </row>
    <row r="13" spans="1:3">
      <c r="A13" s="4" t="s">
        <v>364</v>
      </c>
      <c r="B13" s="6">
        <v>0.5</v>
      </c>
      <c r="C13" s="13" t="s">
        <v>365</v>
      </c>
    </row>
    <row r="14" spans="1:3">
      <c r="A14" s="4" t="s">
        <v>366</v>
      </c>
      <c r="B14" s="6">
        <v>0.2</v>
      </c>
      <c r="C14" s="13" t="s">
        <v>367</v>
      </c>
    </row>
    <row r="16" spans="1:3">
      <c r="A16" s="17" t="s">
        <v>368</v>
      </c>
      <c r="B16" s="17">
        <f>B4+B5+B6+B7+B8</f>
        <v>100</v>
      </c>
    </row>
    <row r="18" spans="1:1">
      <c r="A18" s="13" t="s">
        <v>369</v>
      </c>
    </row>
    <row r="19" spans="1:1">
      <c r="A19" s="13" t="s">
        <v>370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topLeftCell="A5" workbookViewId="0"/>
  </sheetViews>
  <sheetFormatPr defaultRowHeight="15"/>
  <cols>
    <col min="1" max="1" width="22" customWidth="1"/>
    <col min="2" max="2" width="24" customWidth="1"/>
    <col min="3" max="3" width="11" customWidth="1"/>
    <col min="4" max="4" width="16" customWidth="1"/>
    <col min="5" max="5" width="34" customWidth="1"/>
    <col min="6" max="6" width="38" customWidth="1"/>
    <col min="7" max="7" width="22" customWidth="1"/>
    <col min="8" max="8" width="56" customWidth="1"/>
  </cols>
  <sheetData>
    <row r="1" spans="1:8" ht="15.75">
      <c r="A1" s="18" t="s">
        <v>371</v>
      </c>
    </row>
    <row r="2" spans="1:8">
      <c r="A2" s="15" t="s">
        <v>372</v>
      </c>
    </row>
    <row r="4" spans="1:8">
      <c r="A4" s="19" t="s">
        <v>41</v>
      </c>
      <c r="B4" s="19" t="s">
        <v>42</v>
      </c>
      <c r="C4" s="19" t="s">
        <v>44</v>
      </c>
      <c r="D4" s="19" t="s">
        <v>48</v>
      </c>
      <c r="E4" s="19" t="s">
        <v>373</v>
      </c>
      <c r="F4" s="19" t="s">
        <v>374</v>
      </c>
      <c r="G4" s="19" t="s">
        <v>375</v>
      </c>
      <c r="H4" s="19" t="s">
        <v>376</v>
      </c>
    </row>
    <row r="5" spans="1:8" ht="39.950000000000003" customHeight="1">
      <c r="A5" s="8" t="s">
        <v>377</v>
      </c>
      <c r="B5" s="8" t="s">
        <v>378</v>
      </c>
      <c r="C5" s="8" t="s">
        <v>379</v>
      </c>
      <c r="D5" s="8" t="s">
        <v>212</v>
      </c>
      <c r="E5" s="11" t="s">
        <v>380</v>
      </c>
      <c r="F5" s="11" t="s">
        <v>381</v>
      </c>
      <c r="G5" s="8" t="s">
        <v>382</v>
      </c>
      <c r="H5" s="11" t="s">
        <v>383</v>
      </c>
    </row>
    <row r="6" spans="1:8" ht="39.950000000000003" customHeight="1">
      <c r="A6" s="8" t="s">
        <v>384</v>
      </c>
      <c r="B6" s="8" t="s">
        <v>385</v>
      </c>
      <c r="C6" s="8" t="s">
        <v>386</v>
      </c>
      <c r="D6" s="8" t="s">
        <v>123</v>
      </c>
      <c r="E6" s="11" t="s">
        <v>387</v>
      </c>
      <c r="F6" s="11" t="s">
        <v>68</v>
      </c>
      <c r="G6" s="8" t="s">
        <v>68</v>
      </c>
      <c r="H6" s="11" t="s">
        <v>388</v>
      </c>
    </row>
    <row r="7" spans="1:8" ht="39.950000000000003" customHeight="1">
      <c r="A7" s="8" t="s">
        <v>389</v>
      </c>
      <c r="B7" s="8" t="s">
        <v>390</v>
      </c>
      <c r="C7" s="8" t="s">
        <v>386</v>
      </c>
      <c r="D7" s="8" t="s">
        <v>123</v>
      </c>
      <c r="E7" s="11" t="s">
        <v>391</v>
      </c>
      <c r="F7" s="11" t="s">
        <v>68</v>
      </c>
      <c r="G7" s="8" t="s">
        <v>68</v>
      </c>
      <c r="H7" s="11" t="s">
        <v>392</v>
      </c>
    </row>
    <row r="8" spans="1:8" ht="39.950000000000003" customHeight="1">
      <c r="A8" s="8" t="s">
        <v>393</v>
      </c>
      <c r="B8" s="8" t="s">
        <v>394</v>
      </c>
      <c r="C8" s="8" t="s">
        <v>386</v>
      </c>
      <c r="D8" s="8" t="s">
        <v>123</v>
      </c>
      <c r="E8" s="11" t="s">
        <v>395</v>
      </c>
      <c r="F8" s="11" t="s">
        <v>68</v>
      </c>
      <c r="G8" s="8" t="s">
        <v>68</v>
      </c>
      <c r="H8" s="11" t="s">
        <v>392</v>
      </c>
    </row>
    <row r="9" spans="1:8" ht="39.950000000000003" customHeight="1">
      <c r="A9" s="8" t="s">
        <v>396</v>
      </c>
      <c r="B9" s="8" t="s">
        <v>397</v>
      </c>
      <c r="C9" s="8" t="s">
        <v>386</v>
      </c>
      <c r="D9" s="8" t="s">
        <v>123</v>
      </c>
      <c r="E9" s="11" t="s">
        <v>398</v>
      </c>
      <c r="F9" s="11" t="s">
        <v>68</v>
      </c>
      <c r="G9" s="8" t="s">
        <v>178</v>
      </c>
      <c r="H9" s="11" t="s">
        <v>399</v>
      </c>
    </row>
    <row r="10" spans="1:8" ht="39.950000000000003" customHeight="1">
      <c r="A10" s="8" t="s">
        <v>400</v>
      </c>
      <c r="B10" s="8" t="s">
        <v>401</v>
      </c>
      <c r="C10" s="8" t="s">
        <v>386</v>
      </c>
      <c r="D10" s="8" t="s">
        <v>123</v>
      </c>
      <c r="E10" s="11" t="s">
        <v>402</v>
      </c>
      <c r="F10" s="11" t="s">
        <v>68</v>
      </c>
      <c r="G10" s="8" t="s">
        <v>68</v>
      </c>
      <c r="H10" s="11" t="s">
        <v>403</v>
      </c>
    </row>
    <row r="11" spans="1:8" ht="39.950000000000003" customHeight="1">
      <c r="A11" s="8" t="s">
        <v>404</v>
      </c>
      <c r="B11" s="8" t="s">
        <v>405</v>
      </c>
      <c r="C11" s="8" t="s">
        <v>386</v>
      </c>
      <c r="D11" s="8" t="s">
        <v>123</v>
      </c>
      <c r="E11" s="11" t="s">
        <v>406</v>
      </c>
      <c r="F11" s="11" t="s">
        <v>68</v>
      </c>
      <c r="G11" s="8" t="s">
        <v>68</v>
      </c>
      <c r="H11" s="11" t="s">
        <v>407</v>
      </c>
    </row>
    <row r="13" spans="1:8">
      <c r="A13" s="13" t="s">
        <v>408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Kevin Fitzgerald</cp:lastModifiedBy>
  <cp:revision/>
  <dcterms:created xsi:type="dcterms:W3CDTF">2026-09-16T07:00:00Z</dcterms:created>
  <dcterms:modified xsi:type="dcterms:W3CDTF">2026-09-24T20:52:43Z</dcterms:modified>
  <cp:category/>
  <cp:contentStatus/>
</cp:coreProperties>
</file>