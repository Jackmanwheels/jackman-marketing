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xr:revisionPtr revIDLastSave="0" documentId="11_09766F9A359AE8B4652AC742A612CC5173128DDE" xr6:coauthVersionLast="47" xr6:coauthVersionMax="47" xr10:uidLastSave="{00000000-0000-0000-0000-000000000000}"/>
  <bookViews>
    <workbookView xWindow="-120" yWindow="-120" windowWidth="29040" windowHeight="15720" xr2:uid="{00000000-000D-0000-FFFF-FFFF00000000}"/>
  </bookViews>
  <sheets>
    <sheet name="Start Here" sheetId="1" r:id="rId1"/>
    <sheet name="Master List" sheetId="2" r:id="rId2"/>
    <sheet name="Scoring Model" sheetId="3" r:id="rId3"/>
    <sheet name="Dealer and Partner Track"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3" l="1"/>
  <c r="I60" i="2"/>
  <c r="T60" i="2" s="1"/>
  <c r="C60" i="2" s="1"/>
  <c r="I59" i="2"/>
  <c r="T59" i="2" s="1"/>
  <c r="C59" i="2" s="1"/>
  <c r="I58" i="2"/>
  <c r="T58" i="2" s="1"/>
  <c r="C58" i="2" s="1"/>
  <c r="I57" i="2"/>
  <c r="T57" i="2" s="1"/>
  <c r="C57" i="2" s="1"/>
  <c r="I56" i="2"/>
  <c r="T56" i="2" s="1"/>
  <c r="C56" i="2" s="1"/>
  <c r="I55" i="2"/>
  <c r="T55" i="2" s="1"/>
  <c r="C55" i="2" s="1"/>
  <c r="I54" i="2"/>
  <c r="T54" i="2" s="1"/>
  <c r="C54" i="2" s="1"/>
  <c r="I53" i="2"/>
  <c r="T53" i="2" s="1"/>
  <c r="C53" i="2" s="1"/>
  <c r="I52" i="2"/>
  <c r="T52" i="2" s="1"/>
  <c r="C52" i="2" s="1"/>
  <c r="I51" i="2"/>
  <c r="T51" i="2" s="1"/>
  <c r="C51" i="2" s="1"/>
  <c r="I50" i="2"/>
  <c r="T50" i="2" s="1"/>
  <c r="C50" i="2" s="1"/>
  <c r="I49" i="2"/>
  <c r="T49" i="2" s="1"/>
  <c r="C49" i="2" s="1"/>
  <c r="I48" i="2"/>
  <c r="T48" i="2" s="1"/>
  <c r="C48" i="2" s="1"/>
  <c r="T47" i="2"/>
  <c r="C47" i="2" s="1"/>
  <c r="I47" i="2"/>
  <c r="I46" i="2"/>
  <c r="T46" i="2" s="1"/>
  <c r="C46" i="2" s="1"/>
  <c r="I45" i="2"/>
  <c r="T45" i="2" s="1"/>
  <c r="C45" i="2" s="1"/>
  <c r="I44" i="2"/>
  <c r="T44" i="2" s="1"/>
  <c r="C44" i="2" s="1"/>
  <c r="T43" i="2"/>
  <c r="C43" i="2" s="1"/>
  <c r="I43" i="2"/>
  <c r="I42" i="2"/>
  <c r="T42" i="2" s="1"/>
  <c r="C42" i="2" s="1"/>
  <c r="I41" i="2"/>
  <c r="T41" i="2" s="1"/>
  <c r="C41" i="2" s="1"/>
  <c r="I40" i="2"/>
  <c r="T40" i="2" s="1"/>
  <c r="C40" i="2" s="1"/>
  <c r="I39" i="2"/>
  <c r="T39" i="2" s="1"/>
  <c r="C39" i="2" s="1"/>
  <c r="I38" i="2"/>
  <c r="T38" i="2" s="1"/>
  <c r="C38" i="2" s="1"/>
  <c r="I37" i="2"/>
  <c r="T37" i="2" s="1"/>
  <c r="C37" i="2" s="1"/>
  <c r="I36" i="2"/>
  <c r="T36" i="2" s="1"/>
  <c r="C36" i="2" s="1"/>
  <c r="I35" i="2"/>
  <c r="T35" i="2" s="1"/>
  <c r="C35" i="2" s="1"/>
  <c r="I34" i="2"/>
  <c r="T34" i="2" s="1"/>
  <c r="C34" i="2" s="1"/>
  <c r="I33" i="2"/>
  <c r="T33" i="2" s="1"/>
  <c r="C33" i="2" s="1"/>
  <c r="I32" i="2"/>
  <c r="T32" i="2" s="1"/>
  <c r="C32" i="2" s="1"/>
  <c r="I31" i="2"/>
  <c r="T31" i="2" s="1"/>
  <c r="C31" i="2" s="1"/>
  <c r="I30" i="2"/>
  <c r="T30" i="2" s="1"/>
  <c r="C30" i="2" s="1"/>
  <c r="I29" i="2"/>
  <c r="T29" i="2" s="1"/>
  <c r="C29" i="2" s="1"/>
  <c r="I28" i="2"/>
  <c r="T28" i="2" s="1"/>
  <c r="C28" i="2" s="1"/>
  <c r="I27" i="2"/>
  <c r="T27" i="2" s="1"/>
  <c r="C27" i="2" s="1"/>
  <c r="I26" i="2"/>
  <c r="T26" i="2" s="1"/>
  <c r="C26" i="2" s="1"/>
  <c r="I25" i="2"/>
  <c r="T25" i="2" s="1"/>
  <c r="C25" i="2" s="1"/>
  <c r="I24" i="2"/>
  <c r="T24" i="2" s="1"/>
  <c r="C24" i="2" s="1"/>
  <c r="I23" i="2"/>
  <c r="T23" i="2" s="1"/>
  <c r="C23" i="2" s="1"/>
  <c r="I22" i="2"/>
  <c r="T22" i="2" s="1"/>
  <c r="C22" i="2" s="1"/>
  <c r="I21" i="2"/>
  <c r="T21" i="2" s="1"/>
  <c r="C21" i="2" s="1"/>
  <c r="I20" i="2"/>
  <c r="T20" i="2" s="1"/>
  <c r="C20" i="2" s="1"/>
  <c r="I19" i="2"/>
  <c r="T19" i="2" s="1"/>
  <c r="C19" i="2" s="1"/>
  <c r="T18" i="2"/>
  <c r="C18" i="2" s="1"/>
  <c r="I18" i="2"/>
  <c r="I17" i="2"/>
  <c r="T17" i="2" s="1"/>
  <c r="C17" i="2" s="1"/>
  <c r="I16" i="2"/>
  <c r="T16" i="2" s="1"/>
  <c r="C16" i="2" s="1"/>
  <c r="I15" i="2"/>
  <c r="T15" i="2" s="1"/>
  <c r="C15" i="2" s="1"/>
  <c r="I14" i="2"/>
  <c r="T14" i="2" s="1"/>
  <c r="C14" i="2" s="1"/>
  <c r="I13" i="2"/>
  <c r="T13" i="2" s="1"/>
  <c r="C13" i="2" s="1"/>
  <c r="I12" i="2"/>
  <c r="T12" i="2" s="1"/>
  <c r="C12" i="2" s="1"/>
  <c r="I11" i="2"/>
  <c r="T11" i="2" s="1"/>
  <c r="C11" i="2" s="1"/>
  <c r="I10" i="2"/>
  <c r="T10" i="2" s="1"/>
  <c r="C10" i="2" s="1"/>
  <c r="I9" i="2"/>
  <c r="T9" i="2" s="1"/>
  <c r="C9" i="2" s="1"/>
  <c r="I8" i="2"/>
  <c r="T8" i="2" s="1"/>
  <c r="C8" i="2" s="1"/>
  <c r="I7" i="2"/>
  <c r="T7" i="2" s="1"/>
  <c r="C7" i="2" s="1"/>
  <c r="I6" i="2"/>
  <c r="T6" i="2" s="1"/>
  <c r="C6" i="2" s="1"/>
  <c r="I5" i="2"/>
  <c r="T5" i="2" s="1"/>
  <c r="C5" i="2" s="1"/>
  <c r="I4" i="2"/>
  <c r="T4" i="2" s="1"/>
  <c r="C4" i="2" s="1"/>
  <c r="I3" i="2"/>
  <c r="T3" i="2" s="1"/>
  <c r="C3" i="2" s="1"/>
  <c r="I2" i="2"/>
  <c r="T2" i="2" s="1"/>
  <c r="C2" i="2" s="1"/>
</calcChain>
</file>

<file path=xl/sharedStrings.xml><?xml version="1.0" encoding="utf-8"?>
<sst xmlns="http://schemas.openxmlformats.org/spreadsheetml/2006/main" count="747" uniqueCount="578">
  <si>
    <t>Jackman Wheels - Ambassador Priority Order</t>
  </si>
  <si>
    <t>Both lists merged and run against each other  |  2026-10-06  |  v1  |  59 accounts scored on one model</t>
  </si>
  <si>
    <t>What I did</t>
  </si>
  <si>
    <t>Merged the 5K-25K sheet (36 accounts) and the 25K+ sheet (21 accounts), removed the 7 that appeared on both,</t>
  </si>
  <si>
    <t>and added 8 accounts that were sitting on the Checked and Excluded tab but actually belong in the pool.</t>
  </si>
  <si>
    <t>Then rescored all 59 on a single model, because the two sheets were ranked on different logic and were not comparable.</t>
  </si>
  <si>
    <t/>
  </si>
  <si>
    <t>Correction carried forward: @tacodust (63K) should have been on the 25K+ sheet and was not. It is in here now.</t>
  </si>
  <si>
    <t>How the sequence was built - working backwards</t>
  </si>
  <si>
    <t>The goal is selling wheels, and the constraint is that Jackman has almost no proof. No library of real installs,</t>
  </si>
  <si>
    <t>no roster, no track record. So the question is not who is biggest, it is what has to be true before each deal works.</t>
  </si>
  <si>
    <t>To land a 150K YouTube install segment, you need a product with a visible track record.</t>
  </si>
  <si>
    <t>To have a track record, you need a visible roster across the platforms you actually stock.</t>
  </si>
  <si>
    <t>To build a roster cheaply, you need people who are local enough to physically put wheels on and photograph.</t>
  </si>
  <si>
    <t>So the first move is an install day, not an outreach blast. The sequence falls out of that.</t>
  </si>
  <si>
    <t>The five waves</t>
  </si>
  <si>
    <t>WAVE 1 - Install day (7 names, weeks 1-2). SoCal, wheel-forward, product-tier pricing.</t>
  </si>
  <si>
    <t xml:space="preserve">   Purpose: generate the photography you do not have. Everything downstream depends on this.</t>
  </si>
  <si>
    <t xml:space="preserve">   Two of the seven are working photographers. That is deliberate.</t>
  </si>
  <si>
    <t>WAVE 2 - Platform coverage (7 names, weeks 3-6). Chevy, Bronco, Bronco Raptor, Tundra, LC250, newest Toyotas.</t>
  </si>
  <si>
    <t xml:space="preserve">   Purpose: a buyer searching for their own truck finds their own truck. Wave 1 is Tacoma-heavy by design,</t>
  </si>
  <si>
    <t xml:space="preserve">   because that is where your warm relationships are - Wave 2 is the correction.</t>
  </si>
  <si>
    <t>WAVE 3 - Depth and credibility (13 names, weeks 6-12). Build, fab and technical accounts.</t>
  </si>
  <si>
    <t xml:space="preserve">   Purpose: these audiences are mid-build and about to spend. Lower reach, far higher intent.</t>
  </si>
  <si>
    <t>WAVE 4 - The big swing (7 names, month 3+). The YouTube-first accounts, 55K to 172K.</t>
  </si>
  <si>
    <t xml:space="preserve">   Purpose: scale, once you have proof in hand and a roster to point at. Do not open here.</t>
  </si>
  <si>
    <t>DEVELOP (6 names). Under the 5,000 floor, but best-in-class fit on platforms that have no one above the floor.</t>
  </si>
  <si>
    <t xml:space="preserve">   This is the Ram, Tundra and Chevy answer. You cannot hire those creators because they do not exist yet.</t>
  </si>
  <si>
    <t>Three things the merge revealed that neither list showed alone</t>
  </si>
  <si>
    <t>1. The best Ram option across all 59 accounts is @powerwagoneer at 4,355 followers - below your own floor.</t>
  </si>
  <si>
    <t xml:space="preserve">   He scores above most of Wave 2 on fit. Ram, Tundra and Chevy cannot be solved by hiring; only by developing.</t>
  </si>
  <si>
    <t xml:space="preserve">   Decide deliberately whether to develop those platforms or skip them. Drifting is the expensive option.</t>
  </si>
  <si>
    <t>2. Wave 1 is seven people who largely already follow each other. That is the point, not a flaw.</t>
  </si>
  <si>
    <t xml:space="preserve">   Signing them inside one fortnight reads as a movement to a single shared audience. Spreading the same</t>
  </si>
  <si>
    <t xml:space="preserve">   seven across three months reads as seven unrelated ads.</t>
  </si>
  <si>
    <t>3. Only one genuine wheel conflict exists in 59 accounts - @bad_at4x on Fuel Off-Road. Everyone else's</t>
  </si>
  <si>
    <t xml:space="preserve">   sponsors are tires, lighting and suspension, which do not compete with you. The category is wide open.</t>
  </si>
  <si>
    <t>What I need from you</t>
  </si>
  <si>
    <t>You said you have already had conversations with a couple of people. Tell me who, and they move to the front</t>
  </si>
  <si>
    <t>of Wave 1 regardless of score - a warm conversation beats every column on this sheet.</t>
  </si>
  <si>
    <t>I did not guess at who they were rather than put wrong names in the Outreach Status column.</t>
  </si>
  <si>
    <t>Honest limits</t>
  </si>
  <si>
    <t>Still no engagement rate. Instagram does not expose likes-per-post at scale, and it matters most exactly here,</t>
  </si>
  <si>
    <t>where you are about to commit budget. Pull a manual engagement check on Wave 1 before you sign anyone.</t>
  </si>
  <si>
    <t>The six judgement columns (Proof, Platform Gap, Access, Cost Fit, Buyer Intent, Network) are mine, set from</t>
  </si>
  <si>
    <t>reading each feed. They are opinions with a number attached. Disagree with one, change it, the order updates.</t>
  </si>
  <si>
    <t>Follower counts are live as of 2026-10-06 and drift constantly.</t>
  </si>
  <si>
    <t>Wave</t>
  </si>
  <si>
    <t>Order</t>
  </si>
  <si>
    <t>Score</t>
  </si>
  <si>
    <t>Handle</t>
  </si>
  <si>
    <t>Name</t>
  </si>
  <si>
    <t>Profile URL</t>
  </si>
  <si>
    <t>Followers</t>
  </si>
  <si>
    <t>Following</t>
  </si>
  <si>
    <t>Ratio</t>
  </si>
  <si>
    <t>Location</t>
  </si>
  <si>
    <t>Platform</t>
  </si>
  <si>
    <t>Role / Content</t>
  </si>
  <si>
    <t>Existing Sponsors</t>
  </si>
  <si>
    <t>Proof</t>
  </si>
  <si>
    <t>Platform Gap</t>
  </si>
  <si>
    <t>Access</t>
  </si>
  <si>
    <t>Cost Fit</t>
  </si>
  <si>
    <t>Buyer Intent</t>
  </si>
  <si>
    <t>Network</t>
  </si>
  <si>
    <t>Authority</t>
  </si>
  <si>
    <t>Conflict</t>
  </si>
  <si>
    <t>What to ask them for</t>
  </si>
  <si>
    <t>Why this position</t>
  </si>
  <si>
    <t>Outreach Status</t>
  </si>
  <si>
    <t>Date Contacted</t>
  </si>
  <si>
    <t>Response</t>
  </si>
  <si>
    <t>1</t>
  </si>
  <si>
    <t>yotawolf89</t>
  </si>
  <si>
    <t>Bryan Bell</t>
  </si>
  <si>
    <t>https://www.instagram.com/yotawolf89/</t>
  </si>
  <si>
    <t>San Diego, CA</t>
  </si>
  <si>
    <t>Toyota</t>
  </si>
  <si>
    <t>Professional photographer</t>
  </si>
  <si>
    <t>Nitto Tire; Nitto Pit Crew; Diamondback</t>
  </si>
  <si>
    <t>An install plus a full photo set you own outright. Collab post. Explicit rights to reuse the stills in paid social.</t>
  </si>
  <si>
    <t>The single highest-leverage name across both lists. You do not have a library of real installs, and he is a working photographer two hours away with a 45:1 ratio. You are buying assets and audience in one deal, at micro-tier pricing.</t>
  </si>
  <si>
    <t>keepitdirty_offroad</t>
  </si>
  <si>
    <t>Helio Muro</t>
  </si>
  <si>
    <t>https://www.instagram.com/keepitdirty_offroad/</t>
  </si>
  <si>
    <t>SoCal</t>
  </si>
  <si>
    <t>Ford Raptor</t>
  </si>
  <si>
    <t>DIY, reviews, group runs</t>
  </si>
  <si>
    <t>KC HiLites</t>
  </si>
  <si>
    <t>An install walkthrough and an honest review. Then a group run with the wheels on.</t>
  </si>
  <si>
    <t>Reviews and DIY mean his audience arrives already deciding what to buy. He also organises group runs, so he brings a crowd rather than just impressions. Covers Ford, which Wave 1 otherwise misses.</t>
  </si>
  <si>
    <t>22protaco</t>
  </si>
  <si>
    <t>Kevin</t>
  </si>
  <si>
    <t>https://www.instagram.com/22protaco/</t>
  </si>
  <si>
    <t>Tacoma TRD Pro</t>
  </si>
  <si>
    <t>Truck build, desert</t>
  </si>
  <si>
    <t>None stated</t>
  </si>
  <si>
    <t>Straight fitment post plus wheel detail shots. Collab.</t>
  </si>
  <si>
    <t>Already shoots wheel close-ups unprompted - the format you want is the format he makes. 33:1 ratio on only 56 posts. One of your two originals, so the relationship is warm.</t>
  </si>
  <si>
    <t>ghostpro.la</t>
  </si>
  <si>
    <t>Randy Apigo</t>
  </si>
  <si>
    <t>https://www.instagram.com/ghostpro.la/</t>
  </si>
  <si>
    <t>Los Angeles, CA</t>
  </si>
  <si>
    <t>2026 Tacoma TRD Pro</t>
  </si>
  <si>
    <t>Nitto Tire; KC HiLites</t>
  </si>
  <si>
    <t>Paid shoot first, ambassador second. Catalogue-grade photography on a current-year truck.</t>
  </si>
  <si>
    <t>The only public email across 59 accounts, so the lowest-friction first contact you have. Current-year Tacoma and a professional camera. Costs more than the rest of Wave 1 and is worth it for the asset library alone.</t>
  </si>
  <si>
    <t>groovyrunner.gx</t>
  </si>
  <si>
    <t>W I L L</t>
  </si>
  <si>
    <t>https://www.instagram.com/groovyrunner.gx/</t>
  </si>
  <si>
    <t>Orange County, CA</t>
  </si>
  <si>
    <t>4Runner TRD Pro + Lexus GX550</t>
  </si>
  <si>
    <t>Builds, overland</t>
  </si>
  <si>
    <t>KC HiLites; Nitto Pit Crew; Rago Fab; C4 Fab</t>
  </si>
  <si>
    <t>Two fitments off one agreement - one per rig. Staggered a month apart.</t>
  </si>
  <si>
    <t>Two vehicles means two sets of fitment content from a single relationship, which is the best content-per-dollar on the list. Already runs multiple brand partnerships, so he knows the cadence.</t>
  </si>
  <si>
    <t>trdle_pwr</t>
  </si>
  <si>
    <t>Vic</t>
  </si>
  <si>
    <t>https://www.instagram.com/trdle_pwr/</t>
  </si>
  <si>
    <t>2022 4Runner TRD Pro</t>
  </si>
  <si>
    <t>Builds, adventure</t>
  </si>
  <si>
    <t>Openroad 4WD</t>
  </si>
  <si>
    <t>Fitment post plus Story set. Collab.</t>
  </si>
  <si>
    <t>Orange County, inside the same #toyotasocal circle as the rest of Wave 1. Cheap, clean 28:1 ratio, low sponsor load. He is here partly so the cluster sees four of its own sign at once.</t>
  </si>
  <si>
    <t>campygilmore</t>
  </si>
  <si>
    <t>Jose Fernandez</t>
  </si>
  <si>
    <t>https://www.instagram.com/campygilmore/</t>
  </si>
  <si>
    <t>2024 Tacoma</t>
  </si>
  <si>
    <t>Overland, camping, fishing</t>
  </si>
  <si>
    <t>Fitment post plus a trail set. Collab. Ask him who else should be in the room.</t>
  </si>
  <si>
    <t>Scores slightly below the rest of Wave 1 on ratio alone, but he is your original seed, he is local, and the entire SoCal cluster traces back through him. Treat him as the anchor and the introduction route, not just a placement.</t>
  </si>
  <si>
    <t>2</t>
  </si>
  <si>
    <t>zr2chris22</t>
  </si>
  <si>
    <t>ZR2Chris</t>
  </si>
  <si>
    <t>https://www.instagram.com/zr2chris22/</t>
  </si>
  <si>
    <t>Unknown</t>
  </si>
  <si>
    <t>2022 Silverado ZR2</t>
  </si>
  <si>
    <t>Off-road, builds</t>
  </si>
  <si>
    <t>Fitment post, plus put wheels in front of his wheeling group.</t>
  </si>
  <si>
    <t>The best Chevy option that exists above 20K, and Chevy is nearly empty at this tier. He also owns @foosgonewheeling, so he brings an organised group. Highest-scoring non-SoCal name.</t>
  </si>
  <si>
    <t>trailmammoth</t>
  </si>
  <si>
    <t>(no name given)</t>
  </si>
  <si>
    <t>https://www.instagram.com/trailmammoth/</t>
  </si>
  <si>
    <t>2025 4Runner + 2026 Tacoma</t>
  </si>
  <si>
    <t>Builds, YouTube</t>
  </si>
  <si>
    <t>Fitment on both current builds. Ask for the YouTube cut as well as the grid post.</t>
  </si>
  <si>
    <t>50:1 ratio, the best in the micro tier, and he is building on the two newest platforms Toyota sells. Getting on a 2026 Tacoma early is worth more than the follower count suggests.</t>
  </si>
  <si>
    <t>familycruiser250</t>
  </si>
  <si>
    <t>Ryan Medes</t>
  </si>
  <si>
    <t>https://www.instagram.com/familycruiser250/</t>
  </si>
  <si>
    <t>Land Cruiser LC250</t>
  </si>
  <si>
    <t>Overland, family, photography</t>
  </si>
  <si>
    <t>Club Two Fifty</t>
  </si>
  <si>
    <t>LC250 fitment. He sells content services, so negotiate the photo rights up front.</t>
  </si>
  <si>
    <t>LC250 is a fresh platform with thin aftermarket coverage, and he runs the Club Two Fifty community. SoCal. Bio says DM for content, so expect a quote rather than a trade.</t>
  </si>
  <si>
    <t>chance.the.raptr</t>
  </si>
  <si>
    <t>Chance</t>
  </si>
  <si>
    <t>https://www.instagram.com/chance.the.raptr/</t>
  </si>
  <si>
    <t>2024 Bronco Raptor</t>
  </si>
  <si>
    <t>Build, off-road</t>
  </si>
  <si>
    <t>Nitto Pit Crew; ADD Offroad</t>
  </si>
  <si>
    <t>Fitment on the Bronco Raptor. Lead with the fact that almost nobody makes a proper fitment for it yet.</t>
  </si>
  <si>
    <t>Bronco Raptor is a halo platform with very little aftermarket wheel competition. 56:1 ratio and an existing Nitto Pit Crew member. This is a land-grab, not a placement.</t>
  </si>
  <si>
    <t>soka._.boka</t>
  </si>
  <si>
    <t>oshu</t>
  </si>
  <si>
    <t>https://www.instagram.com/soka._.boka/</t>
  </si>
  <si>
    <t>Phoenix, AZ</t>
  </si>
  <si>
    <t>2023 Bronco Badlands</t>
  </si>
  <si>
    <t>Fitment post. His audience will ask clearance questions - make sure he has the answers.</t>
  </si>
  <si>
    <t>Has a highlight called Fit 35s on 4G. His followers are there specifically for fitment problems, which is the most qualified traffic on the list. Covers Bronco cheaply.</t>
  </si>
  <si>
    <t>tundra.nation</t>
  </si>
  <si>
    <t>Tundra Nation</t>
  </si>
  <si>
    <t>https://www.instagram.com/tundra.nation/</t>
  </si>
  <si>
    <t>Tundra (feature page)</t>
  </si>
  <si>
    <t>Feature and repost page</t>
  </si>
  <si>
    <t>Anzo Lighting; Snail Armor</t>
  </si>
  <si>
    <t>Buy placements. Do not sign an ambassador deal with a repost page.</t>
  </si>
  <si>
    <t>Tundra is the thinnest platform across both lists and this is the cheapest way to reach that audience. Public business email, 109:1 ratio. It is a media buy wearing a creator's clothes - price it that way.</t>
  </si>
  <si>
    <t>poorboyraptor</t>
  </si>
  <si>
    <t>Poorboy Raptor</t>
  </si>
  <si>
    <t>https://www.instagram.com/poorboyraptor/</t>
  </si>
  <si>
    <t>Arizona</t>
  </si>
  <si>
    <t>2025 Ford Raptor</t>
  </si>
  <si>
    <t>Build, desert</t>
  </si>
  <si>
    <t>Nitto Pit Crew; BFGoodrich</t>
  </si>
  <si>
    <t>Fitment post, then a wheel presence at Arizona Raptor Runs.</t>
  </si>
  <si>
    <t>He runs his own event, now in its 7th edition. That turns an ambassador deal into an event activation without you renting a booth. Current-year Raptor.</t>
  </si>
  <si>
    <t>3</t>
  </si>
  <si>
    <t>socalexpedition</t>
  </si>
  <si>
    <t>SoCalExpedition</t>
  </si>
  <si>
    <t>https://www.instagram.com/socalexpedition/</t>
  </si>
  <si>
    <t>Multiple</t>
  </si>
  <si>
    <t>SoCal overlanding builds</t>
  </si>
  <si>
    <t>Fitment plus a trail day with the SoCal cluster.</t>
  </si>
  <si>
    <t>SoCal and cheap. Found during the 25K+ scan and missed by the first one - it belongs in the micro tier.</t>
  </si>
  <si>
    <t>brodi_wodie</t>
  </si>
  <si>
    <t>Kiet Vo</t>
  </si>
  <si>
    <t>https://www.instagram.com/brodi_wodie/</t>
  </si>
  <si>
    <t>Solid axle Toyota</t>
  </si>
  <si>
    <t>Fabrication, builds</t>
  </si>
  <si>
    <t>Nitto Pit Crew</t>
  </si>
  <si>
    <t>Ambassador post AND a dealer conversation. He owns @thekietco.</t>
  </si>
  <si>
    <t>One of the few names that can be two relationships at once - creator and shop. Fabricators carry disproportionate technical credibility.</t>
  </si>
  <si>
    <t>trdpro_pugz</t>
  </si>
  <si>
    <t>Dimitri Justice</t>
  </si>
  <si>
    <t>https://www.instagram.com/trdpro_pugz/</t>
  </si>
  <si>
    <t>2017 Tacoma TRD Pro</t>
  </si>
  <si>
    <t>Studio build photography</t>
  </si>
  <si>
    <t>Studio set on Jackman wheels. Affiliate code.</t>
  </si>
  <si>
    <t>The most wheel-forward feed anywhere on either list - studio-lit trucks with the wheel dead centre. Ranked Wave 3 only because he is not local and not cheap; on content fit alone he is top five.</t>
  </si>
  <si>
    <t>natejmueller</t>
  </si>
  <si>
    <t>Nathan Mueller / Outdoor Auto</t>
  </si>
  <si>
    <t>https://www.instagram.com/natejmueller/</t>
  </si>
  <si>
    <t>Off-road trucks</t>
  </si>
  <si>
    <t>Builds, breaks, explains</t>
  </si>
  <si>
    <t>A teardown or abuse test. Let him try to break them.</t>
  </si>
  <si>
    <t>Bio says he builds trucks, breaks them, and shares what he learns. That is the most credible endorsement format available to a wheel brand - and the most dangerous, so only do it once you trust the product.</t>
  </si>
  <si>
    <t>1tontoyrunner</t>
  </si>
  <si>
    <t>Bailey B.</t>
  </si>
  <si>
    <t>https://www.instagram.com/1tontoyrunner/</t>
  </si>
  <si>
    <t>1997 4Runner, 1-ton SAS</t>
  </si>
  <si>
    <t>Extreme builds</t>
  </si>
  <si>
    <t>Nitto Pit Crew; WFO Concepts; R1</t>
  </si>
  <si>
    <t>Fitment on an extreme build. Big wheel-and-tire package.</t>
  </si>
  <si>
    <t>91:1 ratio on only 220 posts. His audience treats every part choice as a recommendation. Extreme fitment means larger, higher-margin packages.</t>
  </si>
  <si>
    <t>395jnky</t>
  </si>
  <si>
    <t>https://www.instagram.com/395jnky/</t>
  </si>
  <si>
    <t>Eastern Sierra, CA</t>
  </si>
  <si>
    <t>Overland, camping, fly fishing</t>
  </si>
  <si>
    <t>Not an ambassador deal - sponsor Overlanding for Warriors, Nov 13-15.</t>
  </si>
  <si>
    <t>Runs a veterans' charity overland event five weeks out, in California. This is a goodwill and presence play with a real deadline, and it is cheap.</t>
  </si>
  <si>
    <t>lunar_sas.t4r</t>
  </si>
  <si>
    <t>https://www.instagram.com/lunar_sas.t4r/</t>
  </si>
  <si>
    <t>4Runner TRD Pro, solid axle swap</t>
  </si>
  <si>
    <t>Builds, reels</t>
  </si>
  <si>
    <t>Nitto Pit Crew; Nitto Tire</t>
  </si>
  <si>
    <t>Fitment on the SAS build. Reel format.</t>
  </si>
  <si>
    <t>Solid-axle swap content means extreme fitment and large packages. Already a Nitto Pit Crew member.</t>
  </si>
  <si>
    <t>gen1raptors</t>
  </si>
  <si>
    <t>Nick Ceccacci</t>
  </si>
  <si>
    <t>https://www.instagram.com/gen1raptors/</t>
  </si>
  <si>
    <t>2013 Ford Raptor 6.2</t>
  </si>
  <si>
    <t>Ford culture</t>
  </si>
  <si>
    <t>Baja Designs; Apollo Offroad</t>
  </si>
  <si>
    <t>Fitment plus an affiliate arrangement through his store.</t>
  </si>
  <si>
    <t>The Gen 1 Raptor authority, and Gen 1 owners are deep in a rewheel cycle. Runs his own store, so he will negotiate commercially rather than ask for freebies.</t>
  </si>
  <si>
    <t>t4r08</t>
  </si>
  <si>
    <t>Anthony</t>
  </si>
  <si>
    <t>https://www.instagram.com/t4r08/</t>
  </si>
  <si>
    <t>4Runner</t>
  </si>
  <si>
    <t>Truck build</t>
  </si>
  <si>
    <t>Street Outcast; Project X; Ascend Fab</t>
  </si>
  <si>
    <t>Affiliate deal. He already runs a discount code.</t>
  </si>
  <si>
    <t>The commercial structure already exists - you are adding a product line to a system he runs, not building one.</t>
  </si>
  <si>
    <t>littletruckbigworld</t>
  </si>
  <si>
    <t>LittleTruck</t>
  </si>
  <si>
    <t>https://www.instagram.com/littletruckbigworld/</t>
  </si>
  <si>
    <t>Denver, CO</t>
  </si>
  <si>
    <t>Toyota mini truck, 37s</t>
  </si>
  <si>
    <t>Fitment plus the YouTube cut. Denver market.</t>
  </si>
  <si>
    <t>37s on 4.88 gearing means serious wheel packages. Denver gives you a second geography and sits near @runnin4tacos, your strongest dealer lead.</t>
  </si>
  <si>
    <t>punknking_jt</t>
  </si>
  <si>
    <t>Dave</t>
  </si>
  <si>
    <t>https://www.instagram.com/punknking_jt/</t>
  </si>
  <si>
    <t>Utah</t>
  </si>
  <si>
    <t>Jeep Gladiator JT</t>
  </si>
  <si>
    <t>Nitto; Baja Designs; Lift Threadz</t>
  </si>
  <si>
    <t>Fitment shot on Utah terrain. Sand Hollow or Moab.</t>
  </si>
  <si>
    <t>Utah terrain is the exact backdrop How We Got There is built around. Gladiator sits at the edge of your platform list, which is the only reason he is not higher.</t>
  </si>
  <si>
    <t>holmes_fabrication</t>
  </si>
  <si>
    <t>Kory Holmes</t>
  </si>
  <si>
    <t>https://www.instagram.com/holmes_fabrication/</t>
  </si>
  <si>
    <t>Cars and trucks</t>
  </si>
  <si>
    <t>Fabrication</t>
  </si>
  <si>
    <t>Fitment post. Start by noting he already follows you.</t>
  </si>
  <si>
    <t>Already follows the Jackman account, which makes this the warmest cold open available. Fabricator credibility at micro-tier pricing.</t>
  </si>
  <si>
    <t>dr_kdss</t>
  </si>
  <si>
    <t>Dom R</t>
  </si>
  <si>
    <t>https://www.instagram.com/dr_kdss/</t>
  </si>
  <si>
    <t>Toyota (KDSS specialist)</t>
  </si>
  <si>
    <t>Technical suspension</t>
  </si>
  <si>
    <t>A technical fitment post. Offsets, clearance, the real numbers.</t>
  </si>
  <si>
    <t>Deeply technical niche audience. People who follow a KDSS specialist are mid-build and about to spend. Small but unusually qualified.</t>
  </si>
  <si>
    <t>4</t>
  </si>
  <si>
    <t>toyotaworldrunners</t>
  </si>
  <si>
    <t>Matthew &amp; Stacey</t>
  </si>
  <si>
    <t>https://www.instagram.com/toyotaworldrunners/</t>
  </si>
  <si>
    <t>Nomadic (Canada-Argentina)</t>
  </si>
  <si>
    <t>Land Cruiser Chinook</t>
  </si>
  <si>
    <t>Expedition filmmaking</t>
  </si>
  <si>
    <t>A story segment, not a post. Buy the footage rights.</t>
  </si>
  <si>
    <t>199:1 ratio at 88K, which is remarkable. Built the world's first Land Cruiser Chinook and drove it Canada to Argentina. The strongest narrative fit for How We Got There on either list.</t>
  </si>
  <si>
    <t>roaminglost</t>
  </si>
  <si>
    <t>Roaming Lost</t>
  </si>
  <si>
    <t>https://www.instagram.com/roaminglost/</t>
  </si>
  <si>
    <t>Portland, OR</t>
  </si>
  <si>
    <t>Photo, film, storytelling</t>
  </si>
  <si>
    <t>Hire the production. Treat it as a content purchase, not sponsorship.</t>
  </si>
  <si>
    <t>Bio says mobile creative services - he sells production outright. No cheap entry point, but a clean way to buy footage for paid social without negotiating an ambassador relationship.</t>
  </si>
  <si>
    <t>lastlineofdefense</t>
  </si>
  <si>
    <t>Mike Pfeiffer</t>
  </si>
  <si>
    <t>https://www.instagram.com/lastlineofdefense/</t>
  </si>
  <si>
    <t>Multiple rigs</t>
  </si>
  <si>
    <t>YouTube gear reviews</t>
  </si>
  <si>
    <t>Multiple; runs coupon codes</t>
  </si>
  <si>
    <t>A YouTube install-and-review segment. Not a grid post.</t>
  </si>
  <si>
    <t>355:1 ratio - the highest authority figure found anywhere. Already ships coupon-code gear reviews as a standard format, so you are buying an existing product, not asking for a favour.</t>
  </si>
  <si>
    <t>dirthead_dave</t>
  </si>
  <si>
    <t>David Chappelle</t>
  </si>
  <si>
    <t>https://www.instagram.com/dirthead_dave/</t>
  </si>
  <si>
    <t>Lowriders and rock crawlers</t>
  </si>
  <si>
    <t>Build and tech</t>
  </si>
  <si>
    <t>A technical segment on The Dirthead Shed.</t>
  </si>
  <si>
    <t>Formerly hosted Dirt Every Day. His endorsement reads as a technical verdict rather than an ad, which is exactly what a revived brand with no track record needs. Both his audiences buy wheels hard.</t>
  </si>
  <si>
    <t>dirtlifestylenate</t>
  </si>
  <si>
    <t>Nate</t>
  </si>
  <si>
    <t>https://www.instagram.com/dirtlifestylenate/</t>
  </si>
  <si>
    <t>Jeep, Land Rover, Toyota, Suzuki</t>
  </si>
  <si>
    <t>Fabrication, YouTube</t>
  </si>
  <si>
    <t>A build segment where the wheels go on something he fabricated.</t>
  </si>
  <si>
    <t>Welds his own brackets. When that person says a wheel is well made it carries weight no lifestyle post can buy. Expect a rate card.</t>
  </si>
  <si>
    <t>lifestyleoverland</t>
  </si>
  <si>
    <t>Lifestyle Overland</t>
  </si>
  <si>
    <t>https://www.instagram.com/lifestyleoverland/</t>
  </si>
  <si>
    <t>Land Cruiser, family rig</t>
  </si>
  <si>
    <t>Family overland, YouTube</t>
  </si>
  <si>
    <t>A family-trip segment with the wheels present but not the subject.</t>
  </si>
  <si>
    <t>The most brand-safe audience on the list, and the one most likely to own the truck rather than just watch content about it.</t>
  </si>
  <si>
    <t>trailrecon</t>
  </si>
  <si>
    <t>TrailRecon</t>
  </si>
  <si>
    <t>https://www.instagram.com/trailrecon/</t>
  </si>
  <si>
    <t>Jeep-dominant</t>
  </si>
  <si>
    <t>Overland adventure, YouTube</t>
  </si>
  <si>
    <t>Jeep (sponsored content)</t>
  </si>
  <si>
    <t>Ask, but expect a no or a large number. Check category exclusivity first.</t>
  </si>
  <si>
    <t>The biggest name in overland and the top of the category. Jeep-dominant feed and existing manufacturer-sponsored content mean both high cost and real conflict risk. Worth one conversation, last.</t>
  </si>
  <si>
    <t>Dev</t>
  </si>
  <si>
    <t>powerwagoneer</t>
  </si>
  <si>
    <t>The Big Pig &amp; Wags</t>
  </si>
  <si>
    <t>https://www.instagram.com/powerwagoneer/</t>
  </si>
  <si>
    <t>2021 Ram Power Wagon; 85 Grand Wagoneer</t>
  </si>
  <si>
    <t>Photographer, overland</t>
  </si>
  <si>
    <t>Seed a set now at cost, with 12-month first refusal.</t>
  </si>
  <si>
    <t>Scores above most of Wave 2 on fit and fails only the 5,000 floor, at 4,355. He is a photographer, he runs Death Valley overland content, and he is the best Ram option found anywhere. Sign him before he crosses the floor and gets expensive.</t>
  </si>
  <si>
    <t>xpeditionram_overland</t>
  </si>
  <si>
    <t>XPDRM</t>
  </si>
  <si>
    <t>https://www.instagram.com/xpeditionram_overland/</t>
  </si>
  <si>
    <t>SC to OR</t>
  </si>
  <si>
    <t>Ram overland</t>
  </si>
  <si>
    <t>Overland, family, adventure</t>
  </si>
  <si>
    <t>Seed a set. He has a Sponsorship highlight - he is asking.</t>
  </si>
  <si>
    <t>Has a highlight literally called Sponsorship, so he is openly looking for partners. Ram overland above 5K effectively does not exist, so this is develop-or-skip.</t>
  </si>
  <si>
    <t>overland_atl</t>
  </si>
  <si>
    <t>Overland_Atl</t>
  </si>
  <si>
    <t>https://www.instagram.com/overland_atl/</t>
  </si>
  <si>
    <t>Atlanta, GA</t>
  </si>
  <si>
    <t>2024 Ram Power Wagon on 37s</t>
  </si>
  <si>
    <t>Overland build</t>
  </si>
  <si>
    <t>ICECO (team member)</t>
  </si>
  <si>
    <t>Full fitment deal. He clears the floor already.</t>
  </si>
  <si>
    <t>The only Ram overland account found above 5,000 followers, on 37s, with an existing team-member arrangement. Atlanta gives you a Southeast foothold.</t>
  </si>
  <si>
    <t>bajatundy</t>
  </si>
  <si>
    <t>https://www.instagram.com/bajatundy/</t>
  </si>
  <si>
    <t>Supercharged Tundra</t>
  </si>
  <si>
    <t>Performance</t>
  </si>
  <si>
    <t>SPD; Magnuson; ADS Racing</t>
  </si>
  <si>
    <t>Seed a set. Tundra coverage is otherwise a paid feature page.</t>
  </si>
  <si>
    <t>4,558 and climbing. Tundra is the thinnest platform on both lists - your only other option is buying placements on @tundra.nation.</t>
  </si>
  <si>
    <t>stealthzr2</t>
  </si>
  <si>
    <t>Chris &amp; Julie</t>
  </si>
  <si>
    <t>https://www.instagram.com/stealthzr2/</t>
  </si>
  <si>
    <t>2023 Colorado ZR2</t>
  </si>
  <si>
    <t>Overland, adventure</t>
  </si>
  <si>
    <t>Watch. Revisit in two quarters.</t>
  </si>
  <si>
    <t>Couple-led AZ overlanding, well produced, 2,473 followers. Chevy is scarce enough that this is worth tracking rather than dismissing.</t>
  </si>
  <si>
    <t>fides_garage</t>
  </si>
  <si>
    <t>Fide</t>
  </si>
  <si>
    <t>https://www.instagram.com/fides_garage/</t>
  </si>
  <si>
    <t>Hollywood, CA</t>
  </si>
  <si>
    <t>2011 Ford F-150</t>
  </si>
  <si>
    <t>DIY build</t>
  </si>
  <si>
    <t>Watch. He has a COLLABS highlight and is openly asking.</t>
  </si>
  <si>
    <t>408 followers is far too early, but he is SoCal, actively seeking partners, and documenting a build from scratch. Costs nothing to be early.</t>
  </si>
  <si>
    <t>Hold</t>
  </si>
  <si>
    <t>gt_raptor</t>
  </si>
  <si>
    <t>Pete</t>
  </si>
  <si>
    <t>https://www.instagram.com/gt_raptor/</t>
  </si>
  <si>
    <t>Raptor R; Bronco Raptor; GT3 RS</t>
  </si>
  <si>
    <t>Performance, luxury</t>
  </si>
  <si>
    <t>Aspirational placement only. Revisit if you launch a premium finish.</t>
  </si>
  <si>
    <t>Strong ratio and genuinely desirable rigs, but the audience skews supercar-adjacent rather than trail. Right person for the wrong campaign today.</t>
  </si>
  <si>
    <t>kbbqpwr</t>
  </si>
  <si>
    <t>Andrew K</t>
  </si>
  <si>
    <t>https://www.instagram.com/kbbqpwr/</t>
  </si>
  <si>
    <t>2025 F-150 Raptor 802A</t>
  </si>
  <si>
    <t>Truck build, overland</t>
  </si>
  <si>
    <t>Nitto Pit Crew; Iceco; Morimoto</t>
  </si>
  <si>
    <t>Hold. Ford is covered better in Waves 1 and 2.</t>
  </si>
  <si>
    <t>Follows 2,946 against 8,272 followers - the weakest authority signal in the micro tier. Covered platform, weak ratio.</t>
  </si>
  <si>
    <t>zr2.papi</t>
  </si>
  <si>
    <t>ZR2 Papi</t>
  </si>
  <si>
    <t>https://www.instagram.com/zr2.papi/</t>
  </si>
  <si>
    <t>Dallas, TX</t>
  </si>
  <si>
    <t>Chevy Colorado ZR2</t>
  </si>
  <si>
    <t>Off-road racing</t>
  </si>
  <si>
    <t>Dirt King; Rad Designs</t>
  </si>
  <si>
    <t>Hold. Chevy need is real, this account is weak.</t>
  </si>
  <si>
    <t>Fills a scarce platform, but a 2.2:1 follower-to-following ratio means he followed his way up. Reach is nominal.</t>
  </si>
  <si>
    <t>american_overland</t>
  </si>
  <si>
    <t>Eric D!</t>
  </si>
  <si>
    <t>https://www.instagram.com/american_overland/</t>
  </si>
  <si>
    <t>Overland, adventure, photography</t>
  </si>
  <si>
    <t>Second-wave micro candidate. Fine, not urgent.</t>
  </si>
  <si>
    <t>48:1 ratio and decent fit. Nothing wrong with him - he just does not fill a gap that Waves 1 to 3 leave open.</t>
  </si>
  <si>
    <t>seekoutbeauty</t>
  </si>
  <si>
    <t>Daniel Katsuki-Elo</t>
  </si>
  <si>
    <t>https://www.instagram.com/seekoutbeauty/</t>
  </si>
  <si>
    <t>Founder of @tinyrigco</t>
  </si>
  <si>
    <t>Approach as a brand partner, not an ambassador.</t>
  </si>
  <si>
    <t>Founder of a rig company. More interesting as a cross-brand conversation than as a placement.</t>
  </si>
  <si>
    <t>14smilespergallon</t>
  </si>
  <si>
    <t>Zack</t>
  </si>
  <si>
    <t>https://www.instagram.com/14smilespergallon/</t>
  </si>
  <si>
    <t>72 F350; 93 Bronco; 19 F250</t>
  </si>
  <si>
    <t>Classic and OBS Ford</t>
  </si>
  <si>
    <t>Hold until you have a finish that suits classic iron.</t>
  </si>
  <si>
    <t>Nobody else on either list covers classic Ford. Genuinely differentiated, but it is a different buyer from your overland positioning.</t>
  </si>
  <si>
    <t>alexyota17</t>
  </si>
  <si>
    <t>Alexander Soberanis</t>
  </si>
  <si>
    <t>https://www.instagram.com/alexyota17/</t>
  </si>
  <si>
    <t>Lifestyle</t>
  </si>
  <si>
    <t>Baja Designs</t>
  </si>
  <si>
    <t>Hold. Great reach, lifestyle audience.</t>
  </si>
  <si>
    <t>117:1 ratio and SoCal, which is why he ranked highly on the 25K+ sheet in isolation. Against the full field, the content is lifestyle rather than build, so intent is lower than the number suggests.</t>
  </si>
  <si>
    <t>zr2_arcangel</t>
  </si>
  <si>
    <t>Michael Arcangel</t>
  </si>
  <si>
    <t>https://www.instagram.com/zr2_arcangel/</t>
  </si>
  <si>
    <t>2024 Chevy Colorado Bison</t>
  </si>
  <si>
    <t>Overland</t>
  </si>
  <si>
    <t>Hold. Too early.</t>
  </si>
  <si>
    <t>407 followers. Listed only because Colorado Bison coverage is otherwise nonexistent.</t>
  </si>
  <si>
    <t>radmedia.co</t>
  </si>
  <si>
    <t>Matt + Sarah Girgis</t>
  </si>
  <si>
    <t>https://www.instagram.com/radmedia.co/</t>
  </si>
  <si>
    <t>Media production team</t>
  </si>
  <si>
    <t>Photo, video production</t>
  </si>
  <si>
    <t>Nine brand partners</t>
  </si>
  <si>
    <t>Content vendor, not ambassador. Quote a shoot.</t>
  </si>
  <si>
    <t>No rig of their own, so there is no fitment story - but if Wave 1 photography falls short, they are a ready-made production team.</t>
  </si>
  <si>
    <t>justdataco</t>
  </si>
  <si>
    <t>Justin</t>
  </si>
  <si>
    <t>https://www.instagram.com/justdataco/</t>
  </si>
  <si>
    <t>Toyota Tacoma</t>
  </si>
  <si>
    <t>Builds, trips</t>
  </si>
  <si>
    <t>Hold. Cheap and uncontested if you want volume later.</t>
  </si>
  <si>
    <t>Clean ratio, no sponsor load, likely to say yes. Nothing wrong with him - Tacoma is just well covered already.</t>
  </si>
  <si>
    <t>trail4r</t>
  </si>
  <si>
    <t>Brenan</t>
  </si>
  <si>
    <t>https://www.instagram.com/trail4r/</t>
  </si>
  <si>
    <t>4Runner resource / TrailCo</t>
  </si>
  <si>
    <t>Affiliate network</t>
  </si>
  <si>
    <t>Media buy, not an ambassador deal.</t>
  </si>
  <si>
    <t>Not a person to sign - a brand running an affiliate network whose bio says Get Free Parts and Get Paid. Price it as a channel partnership.</t>
  </si>
  <si>
    <t>jmd4rnr</t>
  </si>
  <si>
    <t>JM</t>
  </si>
  <si>
    <t>https://www.instagram.com/jmd4rnr/</t>
  </si>
  <si>
    <t>Toyota 4Runner</t>
  </si>
  <si>
    <t>Hold. Solid but undifferentiated.</t>
  </si>
  <si>
    <t>Good ratio, consistent poster, Overland Bound member. Nothing against him - 4Runner coverage is simply the most saturated slot on the list.</t>
  </si>
  <si>
    <t>thestorytillnow</t>
  </si>
  <si>
    <t>Shaun</t>
  </si>
  <si>
    <t>https://www.instagram.com/thestorytillnow/</t>
  </si>
  <si>
    <t>Adventure filmmaking</t>
  </si>
  <si>
    <t>Buy a film if you need one. Jeep-dominant otherwise.</t>
  </si>
  <si>
    <t>Genuinely cinematic work, but the feed is Jeep-led and his value is production rather than endorsement.</t>
  </si>
  <si>
    <t>bad_at4x</t>
  </si>
  <si>
    <t>BAD_AT4X</t>
  </si>
  <si>
    <t>https://www.instagram.com/bad_at4x/</t>
  </si>
  <si>
    <t>2023 GMC Canyon AT4X</t>
  </si>
  <si>
    <t>The Wheel Shop; Fuel Off-Road; BFG</t>
  </si>
  <si>
    <t>Only approach if you are willing to fund a swap off Fuel Off-Road.</t>
  </si>
  <si>
    <t>The only GMC AT4X found at any size, and the single genuine wheel conflict across 59 accounts. Great fit, currently running a competitor. Worth one honest conversation, but budget for the swap.</t>
  </si>
  <si>
    <t>powerwagonbuilder</t>
  </si>
  <si>
    <t>Alex J</t>
  </si>
  <si>
    <t>https://www.instagram.com/powerwagonbuilder/</t>
  </si>
  <si>
    <t>Vintage Dodge Power Wagon</t>
  </si>
  <si>
    <t>Fabrication, vintage</t>
  </si>
  <si>
    <t>GFC USA</t>
  </si>
  <si>
    <t>Hold. Heritage credibility only.</t>
  </si>
  <si>
    <t>Vintage iron and fabrication rather than modern fitment. Only relevant if you build a heritage story around the 1968 founding.</t>
  </si>
  <si>
    <t>tacodust</t>
  </si>
  <si>
    <t>Jason Denney</t>
  </si>
  <si>
    <t>https://www.instagram.com/tacodust/</t>
  </si>
  <si>
    <t>Comedy, entertainment</t>
  </si>
  <si>
    <t>Nitto; KC HiLites + 20 more</t>
  </si>
  <si>
    <t>Keep the relationship warm. Do not spend here yet.</t>
  </si>
  <si>
    <t>He already follows the Jackman account, which is worth something socially. But the content is comedy-led, so product messaging rides in the back seat and the audience is not in a buying posture. Belongs on the 25K+ sheet and was missed - corrected here.</t>
  </si>
  <si>
    <t>mtn_gx</t>
  </si>
  <si>
    <t>Akong</t>
  </si>
  <si>
    <t>https://www.instagram.com/mtn_gx/</t>
  </si>
  <si>
    <t>Lexus GX</t>
  </si>
  <si>
    <t>Outdoor lifestyle</t>
  </si>
  <si>
    <t>Chill Guys Offroad</t>
  </si>
  <si>
    <t>Hold.</t>
  </si>
  <si>
    <t>Under the floor, lifestyle-led, no platform gap filled.</t>
  </si>
  <si>
    <t>loose_and_lost</t>
  </si>
  <si>
    <t>Nick Sawyers</t>
  </si>
  <si>
    <t>https://www.instagram.com/loose_and_lost/</t>
  </si>
  <si>
    <t>Truck culture, art</t>
  </si>
  <si>
    <t>Art and apparel</t>
  </si>
  <si>
    <t>Own merch line</t>
  </si>
  <si>
    <t>Co-branded merch or SEMA graphics. Not a wheel placement.</t>
  </si>
  <si>
    <t>56.5K, but the audience is there for artwork and apparel. Big number, wrong buyer.</t>
  </si>
  <si>
    <t>adriian_huerta</t>
  </si>
  <si>
    <t>https://www.instagram.com/adriian_huerta/</t>
  </si>
  <si>
    <t>Do not spend until a human reviews the feed and comments.</t>
  </si>
  <si>
    <t>33.6K followers and a completely empty bio - no name, no location, no rig. Lowest ratio of any large account at 15:1. Unverifiable from the outside.</t>
  </si>
  <si>
    <t>Blue columns (Proof through Conflict) are the judgement inputs. Change any of them and Score, and the order, follow.</t>
  </si>
  <si>
    <t>Score = 7*Proof + 5*Platform Gap + 6*Access + 4*Cost Fit + 5*Buyer Intent + 4.5*Network + 5*Authority - 25*Conflict. Maximum 100.</t>
  </si>
  <si>
    <t>Authority is derived from the follower/following ratio - it is a formula, not a judgement call.</t>
  </si>
  <si>
    <t>Sorted by wave, then by score within each wave. Outreach Status, Date Contacted and Response are yours.</t>
  </si>
  <si>
    <t>Source: all 59 profiles read live on Instagram. The 25K+ accounts and all carry-overs were re-read 2026-10-06; the micro-tier accounts were read 2026-09-16.</t>
  </si>
  <si>
    <t>Unified scoring model - both lists, one scale</t>
  </si>
  <si>
    <t>Edit any blue weight and every Score and the whole running order on Master List recalculates.</t>
  </si>
  <si>
    <t>Proof value (x0-3)</t>
  </si>
  <si>
    <t>Will this produce a usable install or photo asset? A working photographer scores 3. Jackman's biggest content gap.</t>
  </si>
  <si>
    <t>Platform gap (x0-3)</t>
  </si>
  <si>
    <t>Rarity-weighted. Ram, GMC, Chevy and Tundra score 3 because almost nobody covers them. Tacoma and 4Runner score 1 - saturated.</t>
  </si>
  <si>
    <t>Access (x0-3)</t>
  </si>
  <si>
    <t>SoCal plus a public contact scores 3. Physical reach matters for installs and shoots even now the Expo has passed.</t>
  </si>
  <si>
    <t>Cost fit (x0-3)</t>
  </si>
  <si>
    <t>Under 15K scores 3 - a product deal is realistic. Over 70K scores 0 - that is a rate card.</t>
  </si>
  <si>
    <t>Buyer intent (x0-3)</t>
  </si>
  <si>
    <t>Is the audience mid-build and about to spend, or watching for entertainment? Build and tech accounts score 3, comedy and art score 0.</t>
  </si>
  <si>
    <t>Network effect (x0-2)</t>
  </si>
  <si>
    <t>Brings a group, an event, a shop, or sits inside the SoCal cluster where signings compound.</t>
  </si>
  <si>
    <t>Authority (x0-2)</t>
  </si>
  <si>
    <t>Derived from follower/following ratio, not judged. High ratio means people sought them out.</t>
  </si>
  <si>
    <t>Conflict penalty</t>
  </si>
  <si>
    <t>Subtracted when they already run a competing WHEEL brand. Tires, lighting and suspension do not conflict.</t>
  </si>
  <si>
    <t>Maximum possible score</t>
  </si>
  <si>
    <t>Reach floor: 5,000 followers. Accounts below it are routed to the Develop wave rather than scored out, because on some platforms nobody clears the floor.</t>
  </si>
  <si>
    <t>Parallel track - these are not ambassadors</t>
  </si>
  <si>
    <t>Shops, groups and events found across both scans. They belong in the dealer pipeline and the events calendar, not the ambassador budget.</t>
  </si>
  <si>
    <t>What they are</t>
  </si>
  <si>
    <t>Why it matters</t>
  </si>
  <si>
    <t>runnin4tacos</t>
  </si>
  <si>
    <t>Runnin 4 Tacos</t>
  </si>
  <si>
    <t>Toyota parts store + install shop</t>
  </si>
  <si>
    <t>Strongest dealer lead on either list. 126K followers attached to a real install bay. Pairs naturally with @littletruckbigworld, also Denver.</t>
  </si>
  <si>
    <t>thekietco</t>
  </si>
  <si>
    <t>The Kiet Co</t>
  </si>
  <si>
    <t>-</t>
  </si>
  <si>
    <t>Fabrication shop</t>
  </si>
  <si>
    <t>Owned by @brodi_wodie (Wave 3). One conversation covers creator and shop.</t>
  </si>
  <si>
    <t>foosgonewheeling</t>
  </si>
  <si>
    <t>Foos Gone Wheeling</t>
  </si>
  <si>
    <t>Wheeling group</t>
  </si>
  <si>
    <t>Owned by @zr2chris22 (Wave 2). Event and group-run partner.</t>
  </si>
  <si>
    <t>thewheelshopinc</t>
  </si>
  <si>
    <t>The Wheel Shop Inc</t>
  </si>
  <si>
    <t>Wheel retailer</t>
  </si>
  <si>
    <t>Does the install work for @bad_at4x. Direct dealer lead.</t>
  </si>
  <si>
    <t>koritastires</t>
  </si>
  <si>
    <t>Koritas Off-Road</t>
  </si>
  <si>
    <t>Lift kits, wheels, tires</t>
  </si>
  <si>
    <t>Sells wheels. Direct dealer lead.</t>
  </si>
  <si>
    <t>ltwmotorsports</t>
  </si>
  <si>
    <t>LTW Motorsports</t>
  </si>
  <si>
    <t>Lift kits, tires, wheels</t>
  </si>
  <si>
    <t>mesocustoms</t>
  </si>
  <si>
    <t>MESO Customs LLC</t>
  </si>
  <si>
    <t>Toyota accessories</t>
  </si>
  <si>
    <t>Co-marketing rather than dealer.</t>
  </si>
  <si>
    <t>EVENT, with a deadline: @395jnky runs Overlanding for Warriors, Nov 13-15 2026, Eastern Sierra, benefiting wounded veterans. Five weeks out. Sponsorship, not an ambassador deal.</t>
  </si>
  <si>
    <t>EVENT: @poorboyraptor runs Arizona Raptor Runs, 7th edition. @zr2chris22 runs Foos Gone Wheeling. Both bring an organised group with them.</t>
  </si>
  <si>
    <t>Source: public Instagram profiles, read 2026-09-16 and 2026-10-06.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</si>
</sst>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b/>
      <sz val="16"/>
      <name val="Arial"/>
    </font>
    <font>
      <i/>
      <sz val="10"/>
      <color rgb="FF595959"/>
      <name val="Arial"/>
    </font>
    <font>
      <b/>
      <sz val="11"/>
      <color rgb="FF1F3A5F"/>
      <name val="Arial"/>
    </font>
    <font>
      <sz val="10"/>
      <name val="Arial"/>
    </font>
    <font>
      <b/>
      <sz val="10"/>
      <color rgb="FFFFFFFF"/>
      <name val="Arial"/>
    </font>
    <font>
      <b/>
      <sz val="10"/>
      <color rgb="FF1F6F3A"/>
      <name val="Arial"/>
    </font>
    <font>
      <b/>
      <sz val="10"/>
      <name val="Arial"/>
    </font>
    <font>
      <sz val="10"/>
      <color rgb="FF0000FF"/>
      <name val="Arial"/>
    </font>
    <font>
      <b/>
      <sz val="10"/>
      <color rgb="FF1F3A5F"/>
      <name val="Arial"/>
    </font>
    <font>
      <b/>
      <sz val="10"/>
      <color rgb="FF4A4A4A"/>
      <name val="Arial"/>
    </font>
    <font>
      <b/>
      <sz val="10"/>
      <color rgb="FF8A6D1F"/>
      <name val="Arial"/>
    </font>
    <font>
      <b/>
      <sz val="10"/>
      <color rgb="FF7A3E9D"/>
      <name val="Arial"/>
    </font>
    <font>
      <i/>
      <sz val="10"/>
      <color rgb="FF8C8C8C"/>
      <name val="Arial"/>
    </font>
    <font>
      <i/>
      <sz val="9"/>
      <color rgb="FF595959"/>
      <name val="Arial"/>
    </font>
    <font>
      <b/>
      <sz val="13"/>
      <name val="Arial"/>
    </font>
    <font>
      <i/>
      <sz val="10"/>
      <name val="Arial"/>
    </font>
    <font>
      <b/>
      <sz val="12"/>
      <name val="Arial"/>
    </font>
  </fonts>
  <fills count="3">
    <fill>
      <patternFill patternType="none"/>
    </fill>
    <fill>
      <patternFill patternType="gray125"/>
    </fill>
    <fill>
      <patternFill patternType="solid">
        <fgColor rgb="FF1F3A5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applyAlignment="1">
      <alignment horizontal="center" vertical="center" wrapText="1"/>
    </xf>
    <xf numFmtId="0" fontId="6" fillId="0" borderId="1" xfId="0" applyFont="1" applyBorder="1" applyAlignment="1">
      <alignment horizontal="center" vertical="top"/>
    </xf>
    <xf numFmtId="0" fontId="4" fillId="0" borderId="1" xfId="0" applyFont="1" applyBorder="1" applyAlignment="1">
      <alignment horizontal="center" vertical="top"/>
    </xf>
    <xf numFmtId="164" fontId="7" fillId="0" borderId="1" xfId="0" applyNumberFormat="1" applyFont="1" applyBorder="1" applyAlignment="1">
      <alignment vertical="top"/>
    </xf>
    <xf numFmtId="0" fontId="4" fillId="0" borderId="1" xfId="0" applyFont="1" applyBorder="1" applyAlignment="1">
      <alignment vertical="top"/>
    </xf>
    <xf numFmtId="3" fontId="4" fillId="0" borderId="1" xfId="0" applyNumberFormat="1" applyFont="1" applyBorder="1" applyAlignment="1">
      <alignment vertical="top"/>
    </xf>
    <xf numFmtId="164" fontId="4" fillId="0" borderId="1" xfId="0" applyNumberFormat="1" applyFont="1" applyBorder="1" applyAlignment="1">
      <alignment vertical="top"/>
    </xf>
    <xf numFmtId="0" fontId="4" fillId="0" borderId="1" xfId="0" applyFont="1" applyBorder="1" applyAlignment="1">
      <alignment vertical="top" wrapText="1"/>
    </xf>
    <xf numFmtId="0" fontId="8" fillId="0" borderId="1" xfId="0" applyFont="1" applyBorder="1" applyAlignment="1">
      <alignment horizontal="center" vertical="top"/>
    </xf>
    <xf numFmtId="2" fontId="4" fillId="0" borderId="1" xfId="0" applyNumberFormat="1" applyFont="1" applyBorder="1" applyAlignment="1">
      <alignment vertical="top"/>
    </xf>
    <xf numFmtId="0" fontId="9" fillId="0" borderId="1" xfId="0" applyFont="1" applyBorder="1" applyAlignment="1">
      <alignment horizontal="center" vertical="top"/>
    </xf>
    <xf numFmtId="0" fontId="10" fillId="0" borderId="1" xfId="0" applyFont="1" applyBorder="1" applyAlignment="1">
      <alignment horizontal="center" vertical="top"/>
    </xf>
    <xf numFmtId="0" fontId="11" fillId="0" borderId="1" xfId="0" applyFont="1" applyBorder="1" applyAlignment="1">
      <alignment horizontal="center" vertical="top"/>
    </xf>
    <xf numFmtId="0" fontId="12" fillId="0" borderId="1" xfId="0" applyFont="1" applyBorder="1" applyAlignment="1">
      <alignment horizontal="center" vertical="top"/>
    </xf>
    <xf numFmtId="0" fontId="13" fillId="0" borderId="1" xfId="0" applyFont="1" applyBorder="1" applyAlignment="1">
      <alignment horizontal="center" vertical="top"/>
    </xf>
    <xf numFmtId="0" fontId="14" fillId="0" borderId="0" xfId="0" applyFont="1"/>
    <xf numFmtId="0" fontId="15" fillId="0" borderId="0" xfId="0" applyFont="1"/>
    <xf numFmtId="0" fontId="16" fillId="0" borderId="0" xfId="0" applyFont="1"/>
    <xf numFmtId="0" fontId="8" fillId="0" borderId="1" xfId="0" applyFont="1" applyBorder="1"/>
    <xf numFmtId="0" fontId="7" fillId="0" borderId="0" xfId="0" applyFont="1"/>
    <xf numFmtId="0" fontId="17" fillId="0" borderId="0" xfId="0" applyFont="1"/>
    <xf numFmtId="0" fontId="5" fillId="2"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0"/>
  <sheetViews>
    <sheetView tabSelected="1" workbookViewId="0"/>
  </sheetViews>
  <sheetFormatPr defaultRowHeight="15" x14ac:dyDescent="0.25"/>
  <cols>
    <col min="1" max="1" width="118" customWidth="1"/>
  </cols>
  <sheetData>
    <row r="1" spans="1:1" ht="20.25" x14ac:dyDescent="0.3">
      <c r="A1" s="1" t="s">
        <v>0</v>
      </c>
    </row>
    <row r="2" spans="1:1" x14ac:dyDescent="0.25">
      <c r="A2" s="2" t="s">
        <v>1</v>
      </c>
    </row>
    <row r="4" spans="1:1" x14ac:dyDescent="0.25">
      <c r="A4" s="3" t="s">
        <v>2</v>
      </c>
    </row>
    <row r="5" spans="1:1" x14ac:dyDescent="0.25">
      <c r="A5" s="4" t="s">
        <v>3</v>
      </c>
    </row>
    <row r="6" spans="1:1" x14ac:dyDescent="0.25">
      <c r="A6" s="4" t="s">
        <v>4</v>
      </c>
    </row>
    <row r="7" spans="1:1" x14ac:dyDescent="0.25">
      <c r="A7" s="4" t="s">
        <v>5</v>
      </c>
    </row>
    <row r="8" spans="1:1" x14ac:dyDescent="0.25">
      <c r="A8" s="4" t="s">
        <v>6</v>
      </c>
    </row>
    <row r="9" spans="1:1" x14ac:dyDescent="0.25">
      <c r="A9" s="4" t="s">
        <v>7</v>
      </c>
    </row>
    <row r="11" spans="1:1" x14ac:dyDescent="0.25">
      <c r="A11" s="3" t="s">
        <v>8</v>
      </c>
    </row>
    <row r="12" spans="1:1" x14ac:dyDescent="0.25">
      <c r="A12" s="4" t="s">
        <v>9</v>
      </c>
    </row>
    <row r="13" spans="1:1" x14ac:dyDescent="0.25">
      <c r="A13" s="4" t="s">
        <v>10</v>
      </c>
    </row>
    <row r="14" spans="1:1" x14ac:dyDescent="0.25">
      <c r="A14" s="4" t="s">
        <v>6</v>
      </c>
    </row>
    <row r="15" spans="1:1" x14ac:dyDescent="0.25">
      <c r="A15" s="4" t="s">
        <v>11</v>
      </c>
    </row>
    <row r="16" spans="1:1" x14ac:dyDescent="0.25">
      <c r="A16" s="4" t="s">
        <v>12</v>
      </c>
    </row>
    <row r="17" spans="1:1" x14ac:dyDescent="0.25">
      <c r="A17" s="4" t="s">
        <v>13</v>
      </c>
    </row>
    <row r="18" spans="1:1" x14ac:dyDescent="0.25">
      <c r="A18" s="4" t="s">
        <v>14</v>
      </c>
    </row>
    <row r="20" spans="1:1" x14ac:dyDescent="0.25">
      <c r="A20" s="3" t="s">
        <v>15</v>
      </c>
    </row>
    <row r="21" spans="1:1" x14ac:dyDescent="0.25">
      <c r="A21" s="4" t="s">
        <v>16</v>
      </c>
    </row>
    <row r="22" spans="1:1" x14ac:dyDescent="0.25">
      <c r="A22" s="4" t="s">
        <v>17</v>
      </c>
    </row>
    <row r="23" spans="1:1" x14ac:dyDescent="0.25">
      <c r="A23" s="4" t="s">
        <v>18</v>
      </c>
    </row>
    <row r="24" spans="1:1" x14ac:dyDescent="0.25">
      <c r="A24" s="4" t="s">
        <v>6</v>
      </c>
    </row>
    <row r="25" spans="1:1" x14ac:dyDescent="0.25">
      <c r="A25" s="4" t="s">
        <v>19</v>
      </c>
    </row>
    <row r="26" spans="1:1" x14ac:dyDescent="0.25">
      <c r="A26" s="4" t="s">
        <v>20</v>
      </c>
    </row>
    <row r="27" spans="1:1" x14ac:dyDescent="0.25">
      <c r="A27" s="4" t="s">
        <v>21</v>
      </c>
    </row>
    <row r="28" spans="1:1" x14ac:dyDescent="0.25">
      <c r="A28" s="4" t="s">
        <v>6</v>
      </c>
    </row>
    <row r="29" spans="1:1" x14ac:dyDescent="0.25">
      <c r="A29" s="4" t="s">
        <v>22</v>
      </c>
    </row>
    <row r="30" spans="1:1" x14ac:dyDescent="0.25">
      <c r="A30" s="4" t="s">
        <v>23</v>
      </c>
    </row>
    <row r="31" spans="1:1" x14ac:dyDescent="0.25">
      <c r="A31" s="4" t="s">
        <v>6</v>
      </c>
    </row>
    <row r="32" spans="1:1" x14ac:dyDescent="0.25">
      <c r="A32" s="4" t="s">
        <v>24</v>
      </c>
    </row>
    <row r="33" spans="1:1" x14ac:dyDescent="0.25">
      <c r="A33" s="4" t="s">
        <v>25</v>
      </c>
    </row>
    <row r="34" spans="1:1" x14ac:dyDescent="0.25">
      <c r="A34" s="4" t="s">
        <v>6</v>
      </c>
    </row>
    <row r="35" spans="1:1" x14ac:dyDescent="0.25">
      <c r="A35" s="4" t="s">
        <v>26</v>
      </c>
    </row>
    <row r="36" spans="1:1" x14ac:dyDescent="0.25">
      <c r="A36" s="4" t="s">
        <v>27</v>
      </c>
    </row>
    <row r="38" spans="1:1" x14ac:dyDescent="0.25">
      <c r="A38" s="3" t="s">
        <v>28</v>
      </c>
    </row>
    <row r="39" spans="1:1" x14ac:dyDescent="0.25">
      <c r="A39" s="4" t="s">
        <v>29</v>
      </c>
    </row>
    <row r="40" spans="1:1" x14ac:dyDescent="0.25">
      <c r="A40" s="4" t="s">
        <v>30</v>
      </c>
    </row>
    <row r="41" spans="1:1" x14ac:dyDescent="0.25">
      <c r="A41" s="4" t="s">
        <v>31</v>
      </c>
    </row>
    <row r="42" spans="1:1" x14ac:dyDescent="0.25">
      <c r="A42" s="4" t="s">
        <v>6</v>
      </c>
    </row>
    <row r="43" spans="1:1" x14ac:dyDescent="0.25">
      <c r="A43" s="4" t="s">
        <v>32</v>
      </c>
    </row>
    <row r="44" spans="1:1" x14ac:dyDescent="0.25">
      <c r="A44" s="4" t="s">
        <v>33</v>
      </c>
    </row>
    <row r="45" spans="1:1" x14ac:dyDescent="0.25">
      <c r="A45" s="4" t="s">
        <v>34</v>
      </c>
    </row>
    <row r="46" spans="1:1" x14ac:dyDescent="0.25">
      <c r="A46" s="4" t="s">
        <v>6</v>
      </c>
    </row>
    <row r="47" spans="1:1" x14ac:dyDescent="0.25">
      <c r="A47" s="4" t="s">
        <v>35</v>
      </c>
    </row>
    <row r="48" spans="1:1" x14ac:dyDescent="0.25">
      <c r="A48" s="4" t="s">
        <v>36</v>
      </c>
    </row>
    <row r="50" spans="1:1" x14ac:dyDescent="0.25">
      <c r="A50" s="3" t="s">
        <v>37</v>
      </c>
    </row>
    <row r="51" spans="1:1" x14ac:dyDescent="0.25">
      <c r="A51" s="4" t="s">
        <v>38</v>
      </c>
    </row>
    <row r="52" spans="1:1" x14ac:dyDescent="0.25">
      <c r="A52" s="4" t="s">
        <v>39</v>
      </c>
    </row>
    <row r="53" spans="1:1" x14ac:dyDescent="0.25">
      <c r="A53" s="4" t="s">
        <v>40</v>
      </c>
    </row>
    <row r="55" spans="1:1" x14ac:dyDescent="0.25">
      <c r="A55" s="3" t="s">
        <v>41</v>
      </c>
    </row>
    <row r="56" spans="1:1" x14ac:dyDescent="0.25">
      <c r="A56" s="4" t="s">
        <v>42</v>
      </c>
    </row>
    <row r="57" spans="1:1" x14ac:dyDescent="0.25">
      <c r="A57" s="4" t="s">
        <v>43</v>
      </c>
    </row>
    <row r="58" spans="1:1" x14ac:dyDescent="0.25">
      <c r="A58" s="4" t="s">
        <v>44</v>
      </c>
    </row>
    <row r="59" spans="1:1" x14ac:dyDescent="0.25">
      <c r="A59" s="4" t="s">
        <v>45</v>
      </c>
    </row>
    <row r="60" spans="1:1" x14ac:dyDescent="0.25">
      <c r="A60" s="4" t="s">
        <v>46</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66"/>
  <sheetViews>
    <sheetView workbookViewId="0">
      <pane xSplit="4" ySplit="1" topLeftCell="E2" activePane="bottomRight" state="frozen"/>
      <selection pane="topRight"/>
      <selection pane="bottomLeft"/>
      <selection pane="bottomRight"/>
    </sheetView>
  </sheetViews>
  <sheetFormatPr defaultRowHeight="15" x14ac:dyDescent="0.25"/>
  <cols>
    <col min="1" max="1" width="8" customWidth="1"/>
    <col min="2" max="2" width="7" customWidth="1"/>
    <col min="3" max="3" width="8" customWidth="1"/>
    <col min="4" max="5" width="24" customWidth="1"/>
    <col min="6" max="6" width="40" customWidth="1"/>
    <col min="7" max="8" width="11" customWidth="1"/>
    <col min="9" max="9" width="8" customWidth="1"/>
    <col min="10" max="10" width="20" customWidth="1"/>
    <col min="11" max="11" width="30" customWidth="1"/>
    <col min="12" max="12" width="26" customWidth="1"/>
    <col min="13" max="13" width="30" customWidth="1"/>
    <col min="14" max="14" width="7" customWidth="1"/>
    <col min="16" max="17" width="8" customWidth="1"/>
    <col min="22" max="22" width="52" customWidth="1"/>
    <col min="23" max="23" width="82" customWidth="1"/>
    <col min="24" max="24" width="16" customWidth="1"/>
    <col min="25" max="25" width="14" customWidth="1"/>
    <col min="26" max="26" width="16" customWidth="1"/>
  </cols>
  <sheetData>
    <row r="1" spans="1:26" ht="25.5" x14ac:dyDescent="0.25">
      <c r="A1" s="5" t="s">
        <v>47</v>
      </c>
      <c r="B1" s="5" t="s">
        <v>48</v>
      </c>
      <c r="C1" s="5" t="s">
        <v>49</v>
      </c>
      <c r="D1" s="5" t="s">
        <v>50</v>
      </c>
      <c r="E1" s="5" t="s">
        <v>51</v>
      </c>
      <c r="F1" s="5" t="s">
        <v>52</v>
      </c>
      <c r="G1" s="5" t="s">
        <v>53</v>
      </c>
      <c r="H1" s="5" t="s">
        <v>54</v>
      </c>
      <c r="I1" s="5" t="s">
        <v>55</v>
      </c>
      <c r="J1" s="5" t="s">
        <v>56</v>
      </c>
      <c r="K1" s="5" t="s">
        <v>57</v>
      </c>
      <c r="L1" s="5" t="s">
        <v>58</v>
      </c>
      <c r="M1" s="5" t="s">
        <v>59</v>
      </c>
      <c r="N1" s="5" t="s">
        <v>60</v>
      </c>
      <c r="O1" s="5" t="s">
        <v>61</v>
      </c>
      <c r="P1" s="5" t="s">
        <v>62</v>
      </c>
      <c r="Q1" s="5" t="s">
        <v>63</v>
      </c>
      <c r="R1" s="5" t="s">
        <v>64</v>
      </c>
      <c r="S1" s="5" t="s">
        <v>65</v>
      </c>
      <c r="T1" s="5" t="s">
        <v>66</v>
      </c>
      <c r="U1" s="5" t="s">
        <v>67</v>
      </c>
      <c r="V1" s="5" t="s">
        <v>68</v>
      </c>
      <c r="W1" s="5" t="s">
        <v>69</v>
      </c>
      <c r="X1" s="5" t="s">
        <v>70</v>
      </c>
      <c r="Y1" s="5" t="s">
        <v>71</v>
      </c>
      <c r="Z1" s="5" t="s">
        <v>72</v>
      </c>
    </row>
    <row r="2" spans="1:26" ht="80.099999999999994" customHeight="1" x14ac:dyDescent="0.25">
      <c r="A2" s="6" t="s">
        <v>73</v>
      </c>
      <c r="B2" s="7">
        <v>1</v>
      </c>
      <c r="C2" s="8">
        <f>ROUND('Scoring Model'!$B$4*N2+'Scoring Model'!$B$5*O2+'Scoring Model'!$B$6*P2+'Scoring Model'!$B$7*Q2+'Scoring Model'!$B$8*R2+'Scoring Model'!$B$9*S2+'Scoring Model'!$B$10*T2-'Scoring Model'!$B$11*U2,1)</f>
        <v>76.5</v>
      </c>
      <c r="D2" s="9" t="s">
        <v>74</v>
      </c>
      <c r="E2" s="9" t="s">
        <v>75</v>
      </c>
      <c r="F2" s="9" t="s">
        <v>76</v>
      </c>
      <c r="G2" s="10">
        <v>13400</v>
      </c>
      <c r="H2" s="10">
        <v>297</v>
      </c>
      <c r="I2" s="11">
        <f t="shared" ref="I2:I33" si="0">IFERROR(G2/H2,0)</f>
        <v>45.117845117845121</v>
      </c>
      <c r="J2" s="9" t="s">
        <v>77</v>
      </c>
      <c r="K2" s="12" t="s">
        <v>78</v>
      </c>
      <c r="L2" s="12" t="s">
        <v>79</v>
      </c>
      <c r="M2" s="12" t="s">
        <v>80</v>
      </c>
      <c r="N2" s="13">
        <v>3</v>
      </c>
      <c r="O2" s="13">
        <v>1</v>
      </c>
      <c r="P2" s="13">
        <v>2</v>
      </c>
      <c r="Q2" s="13">
        <v>3</v>
      </c>
      <c r="R2" s="13">
        <v>2</v>
      </c>
      <c r="S2" s="13">
        <v>2</v>
      </c>
      <c r="T2" s="14">
        <f t="shared" ref="T2:T33" si="1">IF(I2&gt;=50,2,IF(I2&gt;=20,1.5,IF(I2&gt;=10,1,IF(I2&gt;=5,0.5,0.25))))</f>
        <v>1.5</v>
      </c>
      <c r="U2" s="13">
        <v>0</v>
      </c>
      <c r="V2" s="12" t="s">
        <v>81</v>
      </c>
      <c r="W2" s="12" t="s">
        <v>82</v>
      </c>
      <c r="X2" s="9"/>
      <c r="Y2" s="9"/>
      <c r="Z2" s="9"/>
    </row>
    <row r="3" spans="1:26" ht="80.099999999999994" customHeight="1" x14ac:dyDescent="0.25">
      <c r="A3" s="6" t="s">
        <v>73</v>
      </c>
      <c r="B3" s="7">
        <v>2</v>
      </c>
      <c r="C3" s="8">
        <f>ROUND('Scoring Model'!$B$4*N3+'Scoring Model'!$B$5*O3+'Scoring Model'!$B$6*P3+'Scoring Model'!$B$7*Q3+'Scoring Model'!$B$8*R3+'Scoring Model'!$B$9*S3+'Scoring Model'!$B$10*T3-'Scoring Model'!$B$11*U3,1)</f>
        <v>75.5</v>
      </c>
      <c r="D3" s="9" t="s">
        <v>83</v>
      </c>
      <c r="E3" s="9" t="s">
        <v>84</v>
      </c>
      <c r="F3" s="9" t="s">
        <v>85</v>
      </c>
      <c r="G3" s="10">
        <v>19900</v>
      </c>
      <c r="H3" s="10">
        <v>729</v>
      </c>
      <c r="I3" s="11">
        <f t="shared" si="0"/>
        <v>27.29766803840878</v>
      </c>
      <c r="J3" s="9" t="s">
        <v>86</v>
      </c>
      <c r="K3" s="12" t="s">
        <v>87</v>
      </c>
      <c r="L3" s="12" t="s">
        <v>88</v>
      </c>
      <c r="M3" s="12" t="s">
        <v>89</v>
      </c>
      <c r="N3" s="13">
        <v>2</v>
      </c>
      <c r="O3" s="13">
        <v>2</v>
      </c>
      <c r="P3" s="13">
        <v>2</v>
      </c>
      <c r="Q3" s="13">
        <v>2</v>
      </c>
      <c r="R3" s="13">
        <v>3</v>
      </c>
      <c r="S3" s="13">
        <v>2</v>
      </c>
      <c r="T3" s="14">
        <f t="shared" si="1"/>
        <v>1.5</v>
      </c>
      <c r="U3" s="13">
        <v>0</v>
      </c>
      <c r="V3" s="12" t="s">
        <v>90</v>
      </c>
      <c r="W3" s="12" t="s">
        <v>91</v>
      </c>
      <c r="X3" s="9"/>
      <c r="Y3" s="9"/>
      <c r="Z3" s="9"/>
    </row>
    <row r="4" spans="1:26" ht="80.099999999999994" customHeight="1" x14ac:dyDescent="0.25">
      <c r="A4" s="6" t="s">
        <v>73</v>
      </c>
      <c r="B4" s="7">
        <v>3</v>
      </c>
      <c r="C4" s="8">
        <f>ROUND('Scoring Model'!$B$4*N4+'Scoring Model'!$B$5*O4+'Scoring Model'!$B$6*P4+'Scoring Model'!$B$7*Q4+'Scoring Model'!$B$8*R4+'Scoring Model'!$B$9*S4+'Scoring Model'!$B$10*T4-'Scoring Model'!$B$11*U4,1)</f>
        <v>74.5</v>
      </c>
      <c r="D4" s="9" t="s">
        <v>92</v>
      </c>
      <c r="E4" s="9" t="s">
        <v>93</v>
      </c>
      <c r="F4" s="9" t="s">
        <v>94</v>
      </c>
      <c r="G4" s="10">
        <v>12800</v>
      </c>
      <c r="H4" s="10">
        <v>389</v>
      </c>
      <c r="I4" s="11">
        <f t="shared" si="0"/>
        <v>32.904884318766065</v>
      </c>
      <c r="J4" s="9" t="s">
        <v>86</v>
      </c>
      <c r="K4" s="12" t="s">
        <v>95</v>
      </c>
      <c r="L4" s="12" t="s">
        <v>96</v>
      </c>
      <c r="M4" s="12" t="s">
        <v>97</v>
      </c>
      <c r="N4" s="13">
        <v>2</v>
      </c>
      <c r="O4" s="13">
        <v>1</v>
      </c>
      <c r="P4" s="13">
        <v>2</v>
      </c>
      <c r="Q4" s="13">
        <v>3</v>
      </c>
      <c r="R4" s="13">
        <v>3</v>
      </c>
      <c r="S4" s="13">
        <v>2</v>
      </c>
      <c r="T4" s="14">
        <f t="shared" si="1"/>
        <v>1.5</v>
      </c>
      <c r="U4" s="13">
        <v>0</v>
      </c>
      <c r="V4" s="12" t="s">
        <v>98</v>
      </c>
      <c r="W4" s="12" t="s">
        <v>99</v>
      </c>
      <c r="X4" s="9"/>
      <c r="Y4" s="9"/>
      <c r="Z4" s="9"/>
    </row>
    <row r="5" spans="1:26" ht="80.099999999999994" customHeight="1" x14ac:dyDescent="0.25">
      <c r="A5" s="6" t="s">
        <v>73</v>
      </c>
      <c r="B5" s="7">
        <v>4</v>
      </c>
      <c r="C5" s="8">
        <f>ROUND('Scoring Model'!$B$4*N5+'Scoring Model'!$B$5*O5+'Scoring Model'!$B$6*P5+'Scoring Model'!$B$7*Q5+'Scoring Model'!$B$8*R5+'Scoring Model'!$B$9*S5+'Scoring Model'!$B$10*T5-'Scoring Model'!$B$11*U5,1)</f>
        <v>74.5</v>
      </c>
      <c r="D5" s="9" t="s">
        <v>100</v>
      </c>
      <c r="E5" s="9" t="s">
        <v>101</v>
      </c>
      <c r="F5" s="9" t="s">
        <v>102</v>
      </c>
      <c r="G5" s="10">
        <v>35400</v>
      </c>
      <c r="H5" s="10">
        <v>846</v>
      </c>
      <c r="I5" s="11">
        <f t="shared" si="0"/>
        <v>41.843971631205676</v>
      </c>
      <c r="J5" s="9" t="s">
        <v>103</v>
      </c>
      <c r="K5" s="12" t="s">
        <v>104</v>
      </c>
      <c r="L5" s="12" t="s">
        <v>79</v>
      </c>
      <c r="M5" s="12" t="s">
        <v>105</v>
      </c>
      <c r="N5" s="13">
        <v>3</v>
      </c>
      <c r="O5" s="13">
        <v>1</v>
      </c>
      <c r="P5" s="13">
        <v>3</v>
      </c>
      <c r="Q5" s="13">
        <v>1</v>
      </c>
      <c r="R5" s="13">
        <v>2</v>
      </c>
      <c r="S5" s="13">
        <v>2</v>
      </c>
      <c r="T5" s="14">
        <f t="shared" si="1"/>
        <v>1.5</v>
      </c>
      <c r="U5" s="13">
        <v>0</v>
      </c>
      <c r="V5" s="12" t="s">
        <v>106</v>
      </c>
      <c r="W5" s="12" t="s">
        <v>107</v>
      </c>
      <c r="X5" s="9"/>
      <c r="Y5" s="9"/>
      <c r="Z5" s="9"/>
    </row>
    <row r="6" spans="1:26" ht="80.099999999999994" customHeight="1" x14ac:dyDescent="0.25">
      <c r="A6" s="6" t="s">
        <v>73</v>
      </c>
      <c r="B6" s="7">
        <v>5</v>
      </c>
      <c r="C6" s="8">
        <f>ROUND('Scoring Model'!$B$4*N6+'Scoring Model'!$B$5*O6+'Scoring Model'!$B$6*P6+'Scoring Model'!$B$7*Q6+'Scoring Model'!$B$8*R6+'Scoring Model'!$B$9*S6+'Scoring Model'!$B$10*T6-'Scoring Model'!$B$11*U6,1)</f>
        <v>73</v>
      </c>
      <c r="D6" s="9" t="s">
        <v>108</v>
      </c>
      <c r="E6" s="9" t="s">
        <v>109</v>
      </c>
      <c r="F6" s="9" t="s">
        <v>110</v>
      </c>
      <c r="G6" s="10">
        <v>20700</v>
      </c>
      <c r="H6" s="10">
        <v>1307</v>
      </c>
      <c r="I6" s="11">
        <f t="shared" si="0"/>
        <v>15.83779648048967</v>
      </c>
      <c r="J6" s="9" t="s">
        <v>111</v>
      </c>
      <c r="K6" s="12" t="s">
        <v>112</v>
      </c>
      <c r="L6" s="12" t="s">
        <v>113</v>
      </c>
      <c r="M6" s="12" t="s">
        <v>114</v>
      </c>
      <c r="N6" s="13">
        <v>2</v>
      </c>
      <c r="O6" s="13">
        <v>2</v>
      </c>
      <c r="P6" s="13">
        <v>2</v>
      </c>
      <c r="Q6" s="13">
        <v>2</v>
      </c>
      <c r="R6" s="13">
        <v>3</v>
      </c>
      <c r="S6" s="13">
        <v>2</v>
      </c>
      <c r="T6" s="14">
        <f t="shared" si="1"/>
        <v>1</v>
      </c>
      <c r="U6" s="13">
        <v>0</v>
      </c>
      <c r="V6" s="12" t="s">
        <v>115</v>
      </c>
      <c r="W6" s="12" t="s">
        <v>116</v>
      </c>
      <c r="X6" s="9"/>
      <c r="Y6" s="9"/>
      <c r="Z6" s="9"/>
    </row>
    <row r="7" spans="1:26" ht="80.099999999999994" customHeight="1" x14ac:dyDescent="0.25">
      <c r="A7" s="6" t="s">
        <v>73</v>
      </c>
      <c r="B7" s="7">
        <v>6</v>
      </c>
      <c r="C7" s="8">
        <f>ROUND('Scoring Model'!$B$4*N7+'Scoring Model'!$B$5*O7+'Scoring Model'!$B$6*P7+'Scoring Model'!$B$7*Q7+'Scoring Model'!$B$8*R7+'Scoring Model'!$B$9*S7+'Scoring Model'!$B$10*T7-'Scoring Model'!$B$11*U7,1)</f>
        <v>69.5</v>
      </c>
      <c r="D7" s="9" t="s">
        <v>117</v>
      </c>
      <c r="E7" s="9" t="s">
        <v>118</v>
      </c>
      <c r="F7" s="9" t="s">
        <v>119</v>
      </c>
      <c r="G7" s="10">
        <v>11900</v>
      </c>
      <c r="H7" s="10">
        <v>421</v>
      </c>
      <c r="I7" s="11">
        <f t="shared" si="0"/>
        <v>28.26603325415677</v>
      </c>
      <c r="J7" s="9" t="s">
        <v>111</v>
      </c>
      <c r="K7" s="12" t="s">
        <v>120</v>
      </c>
      <c r="L7" s="12" t="s">
        <v>121</v>
      </c>
      <c r="M7" s="12" t="s">
        <v>122</v>
      </c>
      <c r="N7" s="13">
        <v>2</v>
      </c>
      <c r="O7" s="13">
        <v>1</v>
      </c>
      <c r="P7" s="13">
        <v>2</v>
      </c>
      <c r="Q7" s="13">
        <v>3</v>
      </c>
      <c r="R7" s="13">
        <v>2</v>
      </c>
      <c r="S7" s="13">
        <v>2</v>
      </c>
      <c r="T7" s="14">
        <f t="shared" si="1"/>
        <v>1.5</v>
      </c>
      <c r="U7" s="13">
        <v>0</v>
      </c>
      <c r="V7" s="12" t="s">
        <v>123</v>
      </c>
      <c r="W7" s="12" t="s">
        <v>124</v>
      </c>
      <c r="X7" s="9"/>
      <c r="Y7" s="9"/>
      <c r="Z7" s="9"/>
    </row>
    <row r="8" spans="1:26" ht="80.099999999999994" customHeight="1" x14ac:dyDescent="0.25">
      <c r="A8" s="6" t="s">
        <v>73</v>
      </c>
      <c r="B8" s="7">
        <v>7</v>
      </c>
      <c r="C8" s="8">
        <f>ROUND('Scoring Model'!$B$4*N8+'Scoring Model'!$B$5*O8+'Scoring Model'!$B$6*P8+'Scoring Model'!$B$7*Q8+'Scoring Model'!$B$8*R8+'Scoring Model'!$B$9*S8+'Scoring Model'!$B$10*T8-'Scoring Model'!$B$11*U8,1)</f>
        <v>64.5</v>
      </c>
      <c r="D8" s="9" t="s">
        <v>125</v>
      </c>
      <c r="E8" s="9" t="s">
        <v>126</v>
      </c>
      <c r="F8" s="9" t="s">
        <v>127</v>
      </c>
      <c r="G8" s="10">
        <v>13600</v>
      </c>
      <c r="H8" s="10">
        <v>1857</v>
      </c>
      <c r="I8" s="11">
        <f t="shared" si="0"/>
        <v>7.3236402800215403</v>
      </c>
      <c r="J8" s="9" t="s">
        <v>111</v>
      </c>
      <c r="K8" s="12" t="s">
        <v>128</v>
      </c>
      <c r="L8" s="12" t="s">
        <v>129</v>
      </c>
      <c r="M8" s="12" t="s">
        <v>97</v>
      </c>
      <c r="N8" s="13">
        <v>2</v>
      </c>
      <c r="O8" s="13">
        <v>1</v>
      </c>
      <c r="P8" s="13">
        <v>2</v>
      </c>
      <c r="Q8" s="13">
        <v>3</v>
      </c>
      <c r="R8" s="13">
        <v>2</v>
      </c>
      <c r="S8" s="13">
        <v>2</v>
      </c>
      <c r="T8" s="14">
        <f t="shared" si="1"/>
        <v>0.5</v>
      </c>
      <c r="U8" s="13">
        <v>0</v>
      </c>
      <c r="V8" s="12" t="s">
        <v>130</v>
      </c>
      <c r="W8" s="12" t="s">
        <v>131</v>
      </c>
      <c r="X8" s="9"/>
      <c r="Y8" s="9"/>
      <c r="Z8" s="9"/>
    </row>
    <row r="9" spans="1:26" ht="80.099999999999994" customHeight="1" x14ac:dyDescent="0.25">
      <c r="A9" s="15" t="s">
        <v>132</v>
      </c>
      <c r="B9" s="7">
        <v>8</v>
      </c>
      <c r="C9" s="8">
        <f>ROUND('Scoring Model'!$B$4*N9+'Scoring Model'!$B$5*O9+'Scoring Model'!$B$6*P9+'Scoring Model'!$B$7*Q9+'Scoring Model'!$B$8*R9+'Scoring Model'!$B$9*S9+'Scoring Model'!$B$10*T9-'Scoring Model'!$B$11*U9,1)</f>
        <v>72</v>
      </c>
      <c r="D9" s="9" t="s">
        <v>133</v>
      </c>
      <c r="E9" s="9" t="s">
        <v>134</v>
      </c>
      <c r="F9" s="9" t="s">
        <v>135</v>
      </c>
      <c r="G9" s="10">
        <v>22400</v>
      </c>
      <c r="H9" s="10">
        <v>1527</v>
      </c>
      <c r="I9" s="11">
        <f t="shared" si="0"/>
        <v>14.66928618205632</v>
      </c>
      <c r="J9" s="9" t="s">
        <v>136</v>
      </c>
      <c r="K9" s="12" t="s">
        <v>137</v>
      </c>
      <c r="L9" s="12" t="s">
        <v>138</v>
      </c>
      <c r="M9" s="12" t="s">
        <v>105</v>
      </c>
      <c r="N9" s="13">
        <v>2</v>
      </c>
      <c r="O9" s="13">
        <v>3</v>
      </c>
      <c r="P9" s="13">
        <v>1</v>
      </c>
      <c r="Q9" s="13">
        <v>2</v>
      </c>
      <c r="R9" s="13">
        <v>3</v>
      </c>
      <c r="S9" s="13">
        <v>2</v>
      </c>
      <c r="T9" s="14">
        <f t="shared" si="1"/>
        <v>1</v>
      </c>
      <c r="U9" s="13">
        <v>0</v>
      </c>
      <c r="V9" s="12" t="s">
        <v>139</v>
      </c>
      <c r="W9" s="12" t="s">
        <v>140</v>
      </c>
      <c r="X9" s="9"/>
      <c r="Y9" s="9"/>
      <c r="Z9" s="9"/>
    </row>
    <row r="10" spans="1:26" ht="80.099999999999994" customHeight="1" x14ac:dyDescent="0.25">
      <c r="A10" s="15" t="s">
        <v>132</v>
      </c>
      <c r="B10" s="7">
        <v>9</v>
      </c>
      <c r="C10" s="8">
        <f>ROUND('Scoring Model'!$B$4*N10+'Scoring Model'!$B$5*O10+'Scoring Model'!$B$6*P10+'Scoring Model'!$B$7*Q10+'Scoring Model'!$B$8*R10+'Scoring Model'!$B$9*S10+'Scoring Model'!$B$10*T10-'Scoring Model'!$B$11*U10,1)</f>
        <v>71.5</v>
      </c>
      <c r="D10" s="9" t="s">
        <v>141</v>
      </c>
      <c r="E10" s="9" t="s">
        <v>142</v>
      </c>
      <c r="F10" s="9" t="s">
        <v>143</v>
      </c>
      <c r="G10" s="10">
        <v>11400</v>
      </c>
      <c r="H10" s="10">
        <v>228</v>
      </c>
      <c r="I10" s="11">
        <f t="shared" si="0"/>
        <v>50</v>
      </c>
      <c r="J10" s="9" t="s">
        <v>136</v>
      </c>
      <c r="K10" s="12" t="s">
        <v>144</v>
      </c>
      <c r="L10" s="12" t="s">
        <v>145</v>
      </c>
      <c r="M10" s="12" t="s">
        <v>97</v>
      </c>
      <c r="N10" s="13">
        <v>2</v>
      </c>
      <c r="O10" s="13">
        <v>2</v>
      </c>
      <c r="P10" s="13">
        <v>1</v>
      </c>
      <c r="Q10" s="13">
        <v>3</v>
      </c>
      <c r="R10" s="13">
        <v>3</v>
      </c>
      <c r="S10" s="13">
        <v>1</v>
      </c>
      <c r="T10" s="14">
        <f t="shared" si="1"/>
        <v>2</v>
      </c>
      <c r="U10" s="13">
        <v>0</v>
      </c>
      <c r="V10" s="12" t="s">
        <v>146</v>
      </c>
      <c r="W10" s="12" t="s">
        <v>147</v>
      </c>
      <c r="X10" s="9"/>
      <c r="Y10" s="9"/>
      <c r="Z10" s="9"/>
    </row>
    <row r="11" spans="1:26" ht="80.099999999999994" customHeight="1" x14ac:dyDescent="0.25">
      <c r="A11" s="15" t="s">
        <v>132</v>
      </c>
      <c r="B11" s="7">
        <v>10</v>
      </c>
      <c r="C11" s="8">
        <f>ROUND('Scoring Model'!$B$4*N11+'Scoring Model'!$B$5*O11+'Scoring Model'!$B$6*P11+'Scoring Model'!$B$7*Q11+'Scoring Model'!$B$8*R11+'Scoring Model'!$B$9*S11+'Scoring Model'!$B$10*T11-'Scoring Model'!$B$11*U11,1)</f>
        <v>69.5</v>
      </c>
      <c r="D11" s="9" t="s">
        <v>148</v>
      </c>
      <c r="E11" s="9" t="s">
        <v>149</v>
      </c>
      <c r="F11" s="9" t="s">
        <v>150</v>
      </c>
      <c r="G11" s="10">
        <v>9628</v>
      </c>
      <c r="H11" s="10">
        <v>1604</v>
      </c>
      <c r="I11" s="11">
        <f t="shared" si="0"/>
        <v>6.0024937655860349</v>
      </c>
      <c r="J11" s="9" t="s">
        <v>86</v>
      </c>
      <c r="K11" s="12" t="s">
        <v>151</v>
      </c>
      <c r="L11" s="12" t="s">
        <v>152</v>
      </c>
      <c r="M11" s="12" t="s">
        <v>153</v>
      </c>
      <c r="N11" s="13">
        <v>2</v>
      </c>
      <c r="O11" s="13">
        <v>2</v>
      </c>
      <c r="P11" s="13">
        <v>2</v>
      </c>
      <c r="Q11" s="13">
        <v>3</v>
      </c>
      <c r="R11" s="13">
        <v>2</v>
      </c>
      <c r="S11" s="13">
        <v>2</v>
      </c>
      <c r="T11" s="14">
        <f t="shared" si="1"/>
        <v>0.5</v>
      </c>
      <c r="U11" s="13">
        <v>0</v>
      </c>
      <c r="V11" s="12" t="s">
        <v>154</v>
      </c>
      <c r="W11" s="12" t="s">
        <v>155</v>
      </c>
      <c r="X11" s="9"/>
      <c r="Y11" s="9"/>
      <c r="Z11" s="9"/>
    </row>
    <row r="12" spans="1:26" ht="80.099999999999994" customHeight="1" x14ac:dyDescent="0.25">
      <c r="A12" s="15" t="s">
        <v>132</v>
      </c>
      <c r="B12" s="7">
        <v>11</v>
      </c>
      <c r="C12" s="8">
        <f>ROUND('Scoring Model'!$B$4*N12+'Scoring Model'!$B$5*O12+'Scoring Model'!$B$6*P12+'Scoring Model'!$B$7*Q12+'Scoring Model'!$B$8*R12+'Scoring Model'!$B$9*S12+'Scoring Model'!$B$10*T12-'Scoring Model'!$B$11*U12,1)</f>
        <v>68.5</v>
      </c>
      <c r="D12" s="9" t="s">
        <v>156</v>
      </c>
      <c r="E12" s="9" t="s">
        <v>157</v>
      </c>
      <c r="F12" s="9" t="s">
        <v>158</v>
      </c>
      <c r="G12" s="10">
        <v>37500</v>
      </c>
      <c r="H12" s="10">
        <v>674</v>
      </c>
      <c r="I12" s="11">
        <f t="shared" si="0"/>
        <v>55.637982195845694</v>
      </c>
      <c r="J12" s="9" t="s">
        <v>136</v>
      </c>
      <c r="K12" s="12" t="s">
        <v>159</v>
      </c>
      <c r="L12" s="12" t="s">
        <v>160</v>
      </c>
      <c r="M12" s="12" t="s">
        <v>161</v>
      </c>
      <c r="N12" s="13">
        <v>2</v>
      </c>
      <c r="O12" s="13">
        <v>3</v>
      </c>
      <c r="P12" s="13">
        <v>1</v>
      </c>
      <c r="Q12" s="13">
        <v>1</v>
      </c>
      <c r="R12" s="13">
        <v>3</v>
      </c>
      <c r="S12" s="13">
        <v>1</v>
      </c>
      <c r="T12" s="14">
        <f t="shared" si="1"/>
        <v>2</v>
      </c>
      <c r="U12" s="13">
        <v>0</v>
      </c>
      <c r="V12" s="12" t="s">
        <v>162</v>
      </c>
      <c r="W12" s="12" t="s">
        <v>163</v>
      </c>
      <c r="X12" s="9"/>
      <c r="Y12" s="9"/>
      <c r="Z12" s="9"/>
    </row>
    <row r="13" spans="1:26" ht="80.099999999999994" customHeight="1" x14ac:dyDescent="0.25">
      <c r="A13" s="15" t="s">
        <v>132</v>
      </c>
      <c r="B13" s="7">
        <v>12</v>
      </c>
      <c r="C13" s="8">
        <f>ROUND('Scoring Model'!$B$4*N13+'Scoring Model'!$B$5*O13+'Scoring Model'!$B$6*P13+'Scoring Model'!$B$7*Q13+'Scoring Model'!$B$8*R13+'Scoring Model'!$B$9*S13+'Scoring Model'!$B$10*T13-'Scoring Model'!$B$11*U13,1)</f>
        <v>66.5</v>
      </c>
      <c r="D13" s="9" t="s">
        <v>164</v>
      </c>
      <c r="E13" s="9" t="s">
        <v>165</v>
      </c>
      <c r="F13" s="9" t="s">
        <v>166</v>
      </c>
      <c r="G13" s="10">
        <v>9080</v>
      </c>
      <c r="H13" s="10">
        <v>871</v>
      </c>
      <c r="I13" s="11">
        <f t="shared" si="0"/>
        <v>10.4247990815155</v>
      </c>
      <c r="J13" s="9" t="s">
        <v>167</v>
      </c>
      <c r="K13" s="12" t="s">
        <v>168</v>
      </c>
      <c r="L13" s="12" t="s">
        <v>113</v>
      </c>
      <c r="M13" s="12" t="s">
        <v>89</v>
      </c>
      <c r="N13" s="13">
        <v>2</v>
      </c>
      <c r="O13" s="13">
        <v>2</v>
      </c>
      <c r="P13" s="13">
        <v>1</v>
      </c>
      <c r="Q13" s="13">
        <v>3</v>
      </c>
      <c r="R13" s="13">
        <v>3</v>
      </c>
      <c r="S13" s="13">
        <v>1</v>
      </c>
      <c r="T13" s="14">
        <f t="shared" si="1"/>
        <v>1</v>
      </c>
      <c r="U13" s="13">
        <v>0</v>
      </c>
      <c r="V13" s="12" t="s">
        <v>169</v>
      </c>
      <c r="W13" s="12" t="s">
        <v>170</v>
      </c>
      <c r="X13" s="9"/>
      <c r="Y13" s="9"/>
      <c r="Z13" s="9"/>
    </row>
    <row r="14" spans="1:26" ht="80.099999999999994" customHeight="1" x14ac:dyDescent="0.25">
      <c r="A14" s="15" t="s">
        <v>132</v>
      </c>
      <c r="B14" s="7">
        <v>13</v>
      </c>
      <c r="C14" s="8">
        <f>ROUND('Scoring Model'!$B$4*N14+'Scoring Model'!$B$5*O14+'Scoring Model'!$B$6*P14+'Scoring Model'!$B$7*Q14+'Scoring Model'!$B$8*R14+'Scoring Model'!$B$9*S14+'Scoring Model'!$B$10*T14-'Scoring Model'!$B$11*U14,1)</f>
        <v>66</v>
      </c>
      <c r="D14" s="9" t="s">
        <v>171</v>
      </c>
      <c r="E14" s="9" t="s">
        <v>172</v>
      </c>
      <c r="F14" s="9" t="s">
        <v>173</v>
      </c>
      <c r="G14" s="10">
        <v>48200</v>
      </c>
      <c r="H14" s="10">
        <v>443</v>
      </c>
      <c r="I14" s="11">
        <f t="shared" si="0"/>
        <v>108.80361173814899</v>
      </c>
      <c r="J14" s="9" t="s">
        <v>136</v>
      </c>
      <c r="K14" s="12" t="s">
        <v>174</v>
      </c>
      <c r="L14" s="12" t="s">
        <v>175</v>
      </c>
      <c r="M14" s="12" t="s">
        <v>176</v>
      </c>
      <c r="N14" s="13">
        <v>0</v>
      </c>
      <c r="O14" s="13">
        <v>3</v>
      </c>
      <c r="P14" s="13">
        <v>3</v>
      </c>
      <c r="Q14" s="13">
        <v>1</v>
      </c>
      <c r="R14" s="13">
        <v>2</v>
      </c>
      <c r="S14" s="13">
        <v>2</v>
      </c>
      <c r="T14" s="14">
        <f t="shared" si="1"/>
        <v>2</v>
      </c>
      <c r="U14" s="13">
        <v>0</v>
      </c>
      <c r="V14" s="12" t="s">
        <v>177</v>
      </c>
      <c r="W14" s="12" t="s">
        <v>178</v>
      </c>
      <c r="X14" s="9"/>
      <c r="Y14" s="9"/>
      <c r="Z14" s="9"/>
    </row>
    <row r="15" spans="1:26" ht="80.099999999999994" customHeight="1" x14ac:dyDescent="0.25">
      <c r="A15" s="15" t="s">
        <v>132</v>
      </c>
      <c r="B15" s="7">
        <v>14</v>
      </c>
      <c r="C15" s="8">
        <f>ROUND('Scoring Model'!$B$4*N15+'Scoring Model'!$B$5*O15+'Scoring Model'!$B$6*P15+'Scoring Model'!$B$7*Q15+'Scoring Model'!$B$8*R15+'Scoring Model'!$B$9*S15+'Scoring Model'!$B$10*T15-'Scoring Model'!$B$11*U15,1)</f>
        <v>65.5</v>
      </c>
      <c r="D15" s="9" t="s">
        <v>179</v>
      </c>
      <c r="E15" s="9" t="s">
        <v>180</v>
      </c>
      <c r="F15" s="9" t="s">
        <v>181</v>
      </c>
      <c r="G15" s="10">
        <v>33500</v>
      </c>
      <c r="H15" s="10">
        <v>1195</v>
      </c>
      <c r="I15" s="11">
        <f t="shared" si="0"/>
        <v>28.03347280334728</v>
      </c>
      <c r="J15" s="9" t="s">
        <v>182</v>
      </c>
      <c r="K15" s="12" t="s">
        <v>183</v>
      </c>
      <c r="L15" s="12" t="s">
        <v>184</v>
      </c>
      <c r="M15" s="12" t="s">
        <v>185</v>
      </c>
      <c r="N15" s="13">
        <v>2</v>
      </c>
      <c r="O15" s="13">
        <v>2</v>
      </c>
      <c r="P15" s="13">
        <v>1</v>
      </c>
      <c r="Q15" s="13">
        <v>1</v>
      </c>
      <c r="R15" s="13">
        <v>3</v>
      </c>
      <c r="S15" s="13">
        <v>2</v>
      </c>
      <c r="T15" s="14">
        <f t="shared" si="1"/>
        <v>1.5</v>
      </c>
      <c r="U15" s="13">
        <v>0</v>
      </c>
      <c r="V15" s="12" t="s">
        <v>186</v>
      </c>
      <c r="W15" s="12" t="s">
        <v>187</v>
      </c>
      <c r="X15" s="9"/>
      <c r="Y15" s="9"/>
      <c r="Z15" s="9"/>
    </row>
    <row r="16" spans="1:26" ht="80.099999999999994" customHeight="1" x14ac:dyDescent="0.25">
      <c r="A16" s="16" t="s">
        <v>188</v>
      </c>
      <c r="B16" s="7">
        <v>15</v>
      </c>
      <c r="C16" s="8">
        <f>ROUND('Scoring Model'!$B$4*N16+'Scoring Model'!$B$5*O16+'Scoring Model'!$B$6*P16+'Scoring Model'!$B$7*Q16+'Scoring Model'!$B$8*R16+'Scoring Model'!$B$9*S16+'Scoring Model'!$B$10*T16-'Scoring Model'!$B$11*U16,1)</f>
        <v>64.5</v>
      </c>
      <c r="D16" s="9" t="s">
        <v>189</v>
      </c>
      <c r="E16" s="9" t="s">
        <v>190</v>
      </c>
      <c r="F16" s="9" t="s">
        <v>191</v>
      </c>
      <c r="G16" s="10">
        <v>11700</v>
      </c>
      <c r="H16" s="10">
        <v>1238</v>
      </c>
      <c r="I16" s="11">
        <f t="shared" si="0"/>
        <v>9.4507269789983841</v>
      </c>
      <c r="J16" s="9" t="s">
        <v>86</v>
      </c>
      <c r="K16" s="12" t="s">
        <v>192</v>
      </c>
      <c r="L16" s="12" t="s">
        <v>193</v>
      </c>
      <c r="M16" s="12" t="s">
        <v>97</v>
      </c>
      <c r="N16" s="13">
        <v>2</v>
      </c>
      <c r="O16" s="13">
        <v>1</v>
      </c>
      <c r="P16" s="13">
        <v>2</v>
      </c>
      <c r="Q16" s="13">
        <v>3</v>
      </c>
      <c r="R16" s="13">
        <v>2</v>
      </c>
      <c r="S16" s="13">
        <v>2</v>
      </c>
      <c r="T16" s="14">
        <f t="shared" si="1"/>
        <v>0.5</v>
      </c>
      <c r="U16" s="13">
        <v>0</v>
      </c>
      <c r="V16" s="12" t="s">
        <v>194</v>
      </c>
      <c r="W16" s="12" t="s">
        <v>195</v>
      </c>
      <c r="X16" s="9"/>
      <c r="Y16" s="9"/>
      <c r="Z16" s="9"/>
    </row>
    <row r="17" spans="1:26" ht="80.099999999999994" customHeight="1" x14ac:dyDescent="0.25">
      <c r="A17" s="16" t="s">
        <v>188</v>
      </c>
      <c r="B17" s="7">
        <v>16</v>
      </c>
      <c r="C17" s="8">
        <f>ROUND('Scoring Model'!$B$4*N17+'Scoring Model'!$B$5*O17+'Scoring Model'!$B$6*P17+'Scoring Model'!$B$7*Q17+'Scoring Model'!$B$8*R17+'Scoring Model'!$B$9*S17+'Scoring Model'!$B$10*T17-'Scoring Model'!$B$11*U17,1)</f>
        <v>63.5</v>
      </c>
      <c r="D17" s="9" t="s">
        <v>196</v>
      </c>
      <c r="E17" s="9" t="s">
        <v>197</v>
      </c>
      <c r="F17" s="9" t="s">
        <v>198</v>
      </c>
      <c r="G17" s="10">
        <v>12100</v>
      </c>
      <c r="H17" s="10">
        <v>1324</v>
      </c>
      <c r="I17" s="11">
        <f t="shared" si="0"/>
        <v>9.1389728096676741</v>
      </c>
      <c r="J17" s="9" t="s">
        <v>136</v>
      </c>
      <c r="K17" s="12" t="s">
        <v>199</v>
      </c>
      <c r="L17" s="12" t="s">
        <v>200</v>
      </c>
      <c r="M17" s="12" t="s">
        <v>201</v>
      </c>
      <c r="N17" s="13">
        <v>2</v>
      </c>
      <c r="O17" s="13">
        <v>1</v>
      </c>
      <c r="P17" s="13">
        <v>1</v>
      </c>
      <c r="Q17" s="13">
        <v>3</v>
      </c>
      <c r="R17" s="13">
        <v>3</v>
      </c>
      <c r="S17" s="13">
        <v>2</v>
      </c>
      <c r="T17" s="14">
        <f t="shared" si="1"/>
        <v>0.5</v>
      </c>
      <c r="U17" s="13">
        <v>0</v>
      </c>
      <c r="V17" s="12" t="s">
        <v>202</v>
      </c>
      <c r="W17" s="12" t="s">
        <v>203</v>
      </c>
      <c r="X17" s="9"/>
      <c r="Y17" s="9"/>
      <c r="Z17" s="9"/>
    </row>
    <row r="18" spans="1:26" ht="80.099999999999994" customHeight="1" x14ac:dyDescent="0.25">
      <c r="A18" s="16" t="s">
        <v>188</v>
      </c>
      <c r="B18" s="7">
        <v>17</v>
      </c>
      <c r="C18" s="8">
        <f>ROUND('Scoring Model'!$B$4*N18+'Scoring Model'!$B$5*O18+'Scoring Model'!$B$6*P18+'Scoring Model'!$B$7*Q18+'Scoring Model'!$B$8*R18+'Scoring Model'!$B$9*S18+'Scoring Model'!$B$10*T18-'Scoring Model'!$B$11*U18,1)</f>
        <v>63</v>
      </c>
      <c r="D18" s="9" t="s">
        <v>204</v>
      </c>
      <c r="E18" s="9" t="s">
        <v>205</v>
      </c>
      <c r="F18" s="9" t="s">
        <v>206</v>
      </c>
      <c r="G18" s="10">
        <v>39800</v>
      </c>
      <c r="H18" s="10">
        <v>1011</v>
      </c>
      <c r="I18" s="11">
        <f t="shared" si="0"/>
        <v>39.366963402571713</v>
      </c>
      <c r="J18" s="9" t="s">
        <v>136</v>
      </c>
      <c r="K18" s="12" t="s">
        <v>207</v>
      </c>
      <c r="L18" s="12" t="s">
        <v>208</v>
      </c>
      <c r="M18" s="12" t="s">
        <v>97</v>
      </c>
      <c r="N18" s="13">
        <v>3</v>
      </c>
      <c r="O18" s="13">
        <v>1</v>
      </c>
      <c r="P18" s="13">
        <v>1</v>
      </c>
      <c r="Q18" s="13">
        <v>1</v>
      </c>
      <c r="R18" s="13">
        <v>3</v>
      </c>
      <c r="S18" s="13">
        <v>1</v>
      </c>
      <c r="T18" s="14">
        <f t="shared" si="1"/>
        <v>1.5</v>
      </c>
      <c r="U18" s="13">
        <v>0</v>
      </c>
      <c r="V18" s="12" t="s">
        <v>209</v>
      </c>
      <c r="W18" s="12" t="s">
        <v>210</v>
      </c>
      <c r="X18" s="9"/>
      <c r="Y18" s="9"/>
      <c r="Z18" s="9"/>
    </row>
    <row r="19" spans="1:26" ht="80.099999999999994" customHeight="1" x14ac:dyDescent="0.25">
      <c r="A19" s="16" t="s">
        <v>188</v>
      </c>
      <c r="B19" s="7">
        <v>18</v>
      </c>
      <c r="C19" s="8">
        <f>ROUND('Scoring Model'!$B$4*N19+'Scoring Model'!$B$5*O19+'Scoring Model'!$B$6*P19+'Scoring Model'!$B$7*Q19+'Scoring Model'!$B$8*R19+'Scoring Model'!$B$9*S19+'Scoring Model'!$B$10*T19-'Scoring Model'!$B$11*U19,1)</f>
        <v>62.5</v>
      </c>
      <c r="D19" s="9" t="s">
        <v>211</v>
      </c>
      <c r="E19" s="9" t="s">
        <v>212</v>
      </c>
      <c r="F19" s="9" t="s">
        <v>213</v>
      </c>
      <c r="G19" s="10">
        <v>18200</v>
      </c>
      <c r="H19" s="10">
        <v>1534</v>
      </c>
      <c r="I19" s="11">
        <f t="shared" si="0"/>
        <v>11.864406779661017</v>
      </c>
      <c r="J19" s="9" t="s">
        <v>136</v>
      </c>
      <c r="K19" s="12" t="s">
        <v>214</v>
      </c>
      <c r="L19" s="12" t="s">
        <v>215</v>
      </c>
      <c r="M19" s="12" t="s">
        <v>97</v>
      </c>
      <c r="N19" s="13">
        <v>2</v>
      </c>
      <c r="O19" s="13">
        <v>2</v>
      </c>
      <c r="P19" s="13">
        <v>1</v>
      </c>
      <c r="Q19" s="13">
        <v>2</v>
      </c>
      <c r="R19" s="13">
        <v>3</v>
      </c>
      <c r="S19" s="13">
        <v>1</v>
      </c>
      <c r="T19" s="14">
        <f t="shared" si="1"/>
        <v>1</v>
      </c>
      <c r="U19" s="13">
        <v>0</v>
      </c>
      <c r="V19" s="12" t="s">
        <v>216</v>
      </c>
      <c r="W19" s="12" t="s">
        <v>217</v>
      </c>
      <c r="X19" s="9"/>
      <c r="Y19" s="9"/>
      <c r="Z19" s="9"/>
    </row>
    <row r="20" spans="1:26" ht="80.099999999999994" customHeight="1" x14ac:dyDescent="0.25">
      <c r="A20" s="16" t="s">
        <v>188</v>
      </c>
      <c r="B20" s="7">
        <v>19</v>
      </c>
      <c r="C20" s="8">
        <f>ROUND('Scoring Model'!$B$4*N20+'Scoring Model'!$B$5*O20+'Scoring Model'!$B$6*P20+'Scoring Model'!$B$7*Q20+'Scoring Model'!$B$8*R20+'Scoring Model'!$B$9*S20+'Scoring Model'!$B$10*T20-'Scoring Model'!$B$11*U20,1)</f>
        <v>62.5</v>
      </c>
      <c r="D20" s="9" t="s">
        <v>218</v>
      </c>
      <c r="E20" s="9" t="s">
        <v>219</v>
      </c>
      <c r="F20" s="9" t="s">
        <v>220</v>
      </c>
      <c r="G20" s="10">
        <v>26000</v>
      </c>
      <c r="H20" s="10">
        <v>287</v>
      </c>
      <c r="I20" s="11">
        <f t="shared" si="0"/>
        <v>90.592334494773525</v>
      </c>
      <c r="J20" s="9" t="s">
        <v>136</v>
      </c>
      <c r="K20" s="12" t="s">
        <v>221</v>
      </c>
      <c r="L20" s="12" t="s">
        <v>222</v>
      </c>
      <c r="M20" s="12" t="s">
        <v>223</v>
      </c>
      <c r="N20" s="13">
        <v>2</v>
      </c>
      <c r="O20" s="13">
        <v>1</v>
      </c>
      <c r="P20" s="13">
        <v>1</v>
      </c>
      <c r="Q20" s="13">
        <v>2</v>
      </c>
      <c r="R20" s="13">
        <v>3</v>
      </c>
      <c r="S20" s="13">
        <v>1</v>
      </c>
      <c r="T20" s="14">
        <f t="shared" si="1"/>
        <v>2</v>
      </c>
      <c r="U20" s="13">
        <v>0</v>
      </c>
      <c r="V20" s="12" t="s">
        <v>224</v>
      </c>
      <c r="W20" s="12" t="s">
        <v>225</v>
      </c>
      <c r="X20" s="9"/>
      <c r="Y20" s="9"/>
      <c r="Z20" s="9"/>
    </row>
    <row r="21" spans="1:26" ht="80.099999999999994" customHeight="1" x14ac:dyDescent="0.25">
      <c r="A21" s="16" t="s">
        <v>188</v>
      </c>
      <c r="B21" s="7">
        <v>20</v>
      </c>
      <c r="C21" s="8">
        <f>ROUND('Scoring Model'!$B$4*N21+'Scoring Model'!$B$5*O21+'Scoring Model'!$B$6*P21+'Scoring Model'!$B$7*Q21+'Scoring Model'!$B$8*R21+'Scoring Model'!$B$9*S21+'Scoring Model'!$B$10*T21-'Scoring Model'!$B$11*U21,1)</f>
        <v>62.5</v>
      </c>
      <c r="D21" s="9" t="s">
        <v>226</v>
      </c>
      <c r="E21" s="9" t="s">
        <v>226</v>
      </c>
      <c r="F21" s="9" t="s">
        <v>227</v>
      </c>
      <c r="G21" s="10">
        <v>10500</v>
      </c>
      <c r="H21" s="10">
        <v>320</v>
      </c>
      <c r="I21" s="11">
        <f t="shared" si="0"/>
        <v>32.8125</v>
      </c>
      <c r="J21" s="9" t="s">
        <v>228</v>
      </c>
      <c r="K21" s="12" t="s">
        <v>192</v>
      </c>
      <c r="L21" s="12" t="s">
        <v>229</v>
      </c>
      <c r="M21" s="12" t="s">
        <v>97</v>
      </c>
      <c r="N21" s="13">
        <v>1</v>
      </c>
      <c r="O21" s="13">
        <v>1</v>
      </c>
      <c r="P21" s="13">
        <v>2</v>
      </c>
      <c r="Q21" s="13">
        <v>3</v>
      </c>
      <c r="R21" s="13">
        <v>2</v>
      </c>
      <c r="S21" s="13">
        <v>2</v>
      </c>
      <c r="T21" s="14">
        <f t="shared" si="1"/>
        <v>1.5</v>
      </c>
      <c r="U21" s="13">
        <v>0</v>
      </c>
      <c r="V21" s="12" t="s">
        <v>230</v>
      </c>
      <c r="W21" s="12" t="s">
        <v>231</v>
      </c>
      <c r="X21" s="9"/>
      <c r="Y21" s="9"/>
      <c r="Z21" s="9"/>
    </row>
    <row r="22" spans="1:26" ht="80.099999999999994" customHeight="1" x14ac:dyDescent="0.25">
      <c r="A22" s="16" t="s">
        <v>188</v>
      </c>
      <c r="B22" s="7">
        <v>21</v>
      </c>
      <c r="C22" s="8">
        <f>ROUND('Scoring Model'!$B$4*N22+'Scoring Model'!$B$5*O22+'Scoring Model'!$B$6*P22+'Scoring Model'!$B$7*Q22+'Scoring Model'!$B$8*R22+'Scoring Model'!$B$9*S22+'Scoring Model'!$B$10*T22-'Scoring Model'!$B$11*U22,1)</f>
        <v>61.5</v>
      </c>
      <c r="D22" s="9" t="s">
        <v>232</v>
      </c>
      <c r="E22" s="9" t="s">
        <v>142</v>
      </c>
      <c r="F22" s="9" t="s">
        <v>233</v>
      </c>
      <c r="G22" s="10">
        <v>12400</v>
      </c>
      <c r="H22" s="10">
        <v>741</v>
      </c>
      <c r="I22" s="11">
        <f t="shared" si="0"/>
        <v>16.734143049932523</v>
      </c>
      <c r="J22" s="9" t="s">
        <v>136</v>
      </c>
      <c r="K22" s="12" t="s">
        <v>234</v>
      </c>
      <c r="L22" s="12" t="s">
        <v>235</v>
      </c>
      <c r="M22" s="12" t="s">
        <v>236</v>
      </c>
      <c r="N22" s="13">
        <v>2</v>
      </c>
      <c r="O22" s="13">
        <v>1</v>
      </c>
      <c r="P22" s="13">
        <v>1</v>
      </c>
      <c r="Q22" s="13">
        <v>3</v>
      </c>
      <c r="R22" s="13">
        <v>3</v>
      </c>
      <c r="S22" s="13">
        <v>1</v>
      </c>
      <c r="T22" s="14">
        <f t="shared" si="1"/>
        <v>1</v>
      </c>
      <c r="U22" s="13">
        <v>0</v>
      </c>
      <c r="V22" s="12" t="s">
        <v>237</v>
      </c>
      <c r="W22" s="12" t="s">
        <v>238</v>
      </c>
      <c r="X22" s="9"/>
      <c r="Y22" s="9"/>
      <c r="Z22" s="9"/>
    </row>
    <row r="23" spans="1:26" ht="80.099999999999994" customHeight="1" x14ac:dyDescent="0.25">
      <c r="A23" s="16" t="s">
        <v>188</v>
      </c>
      <c r="B23" s="7">
        <v>22</v>
      </c>
      <c r="C23" s="8">
        <f>ROUND('Scoring Model'!$B$4*N23+'Scoring Model'!$B$5*O23+'Scoring Model'!$B$6*P23+'Scoring Model'!$B$7*Q23+'Scoring Model'!$B$8*R23+'Scoring Model'!$B$9*S23+'Scoring Model'!$B$10*T23-'Scoring Model'!$B$11*U23,1)</f>
        <v>61</v>
      </c>
      <c r="D23" s="9" t="s">
        <v>239</v>
      </c>
      <c r="E23" s="9" t="s">
        <v>240</v>
      </c>
      <c r="F23" s="9" t="s">
        <v>241</v>
      </c>
      <c r="G23" s="10">
        <v>35800</v>
      </c>
      <c r="H23" s="10">
        <v>858</v>
      </c>
      <c r="I23" s="11">
        <f t="shared" si="0"/>
        <v>41.724941724941722</v>
      </c>
      <c r="J23" s="9" t="s">
        <v>136</v>
      </c>
      <c r="K23" s="12" t="s">
        <v>242</v>
      </c>
      <c r="L23" s="12" t="s">
        <v>243</v>
      </c>
      <c r="M23" s="12" t="s">
        <v>244</v>
      </c>
      <c r="N23" s="13">
        <v>2</v>
      </c>
      <c r="O23" s="13">
        <v>2</v>
      </c>
      <c r="P23" s="13">
        <v>1</v>
      </c>
      <c r="Q23" s="13">
        <v>1</v>
      </c>
      <c r="R23" s="13">
        <v>3</v>
      </c>
      <c r="S23" s="13">
        <v>1</v>
      </c>
      <c r="T23" s="14">
        <f t="shared" si="1"/>
        <v>1.5</v>
      </c>
      <c r="U23" s="13">
        <v>0</v>
      </c>
      <c r="V23" s="12" t="s">
        <v>245</v>
      </c>
      <c r="W23" s="12" t="s">
        <v>246</v>
      </c>
      <c r="X23" s="9"/>
      <c r="Y23" s="9"/>
      <c r="Z23" s="9"/>
    </row>
    <row r="24" spans="1:26" ht="80.099999999999994" customHeight="1" x14ac:dyDescent="0.25">
      <c r="A24" s="16" t="s">
        <v>188</v>
      </c>
      <c r="B24" s="7">
        <v>23</v>
      </c>
      <c r="C24" s="8">
        <f>ROUND('Scoring Model'!$B$4*N24+'Scoring Model'!$B$5*O24+'Scoring Model'!$B$6*P24+'Scoring Model'!$B$7*Q24+'Scoring Model'!$B$8*R24+'Scoring Model'!$B$9*S24+'Scoring Model'!$B$10*T24-'Scoring Model'!$B$11*U24,1)</f>
        <v>60</v>
      </c>
      <c r="D24" s="9" t="s">
        <v>247</v>
      </c>
      <c r="E24" s="9" t="s">
        <v>248</v>
      </c>
      <c r="F24" s="9" t="s">
        <v>249</v>
      </c>
      <c r="G24" s="10">
        <v>23800</v>
      </c>
      <c r="H24" s="10">
        <v>1097</v>
      </c>
      <c r="I24" s="11">
        <f t="shared" si="0"/>
        <v>21.69553327256153</v>
      </c>
      <c r="J24" s="9" t="s">
        <v>136</v>
      </c>
      <c r="K24" s="12" t="s">
        <v>250</v>
      </c>
      <c r="L24" s="12" t="s">
        <v>251</v>
      </c>
      <c r="M24" s="12" t="s">
        <v>252</v>
      </c>
      <c r="N24" s="13">
        <v>2</v>
      </c>
      <c r="O24" s="13">
        <v>1</v>
      </c>
      <c r="P24" s="13">
        <v>1</v>
      </c>
      <c r="Q24" s="13">
        <v>2</v>
      </c>
      <c r="R24" s="13">
        <v>3</v>
      </c>
      <c r="S24" s="13">
        <v>1</v>
      </c>
      <c r="T24" s="14">
        <f t="shared" si="1"/>
        <v>1.5</v>
      </c>
      <c r="U24" s="13">
        <v>0</v>
      </c>
      <c r="V24" s="12" t="s">
        <v>253</v>
      </c>
      <c r="W24" s="12" t="s">
        <v>254</v>
      </c>
      <c r="X24" s="9"/>
      <c r="Y24" s="9"/>
      <c r="Z24" s="9"/>
    </row>
    <row r="25" spans="1:26" ht="80.099999999999994" customHeight="1" x14ac:dyDescent="0.25">
      <c r="A25" s="16" t="s">
        <v>188</v>
      </c>
      <c r="B25" s="7">
        <v>24</v>
      </c>
      <c r="C25" s="8">
        <f>ROUND('Scoring Model'!$B$4*N25+'Scoring Model'!$B$5*O25+'Scoring Model'!$B$6*P25+'Scoring Model'!$B$7*Q25+'Scoring Model'!$B$8*R25+'Scoring Model'!$B$9*S25+'Scoring Model'!$B$10*T25-'Scoring Model'!$B$11*U25,1)</f>
        <v>60</v>
      </c>
      <c r="D25" s="9" t="s">
        <v>255</v>
      </c>
      <c r="E25" s="9" t="s">
        <v>256</v>
      </c>
      <c r="F25" s="9" t="s">
        <v>257</v>
      </c>
      <c r="G25" s="10">
        <v>20200</v>
      </c>
      <c r="H25" s="10">
        <v>966</v>
      </c>
      <c r="I25" s="11">
        <f t="shared" si="0"/>
        <v>20.910973084886127</v>
      </c>
      <c r="J25" s="9" t="s">
        <v>258</v>
      </c>
      <c r="K25" s="12" t="s">
        <v>259</v>
      </c>
      <c r="L25" s="12" t="s">
        <v>145</v>
      </c>
      <c r="M25" s="12" t="s">
        <v>97</v>
      </c>
      <c r="N25" s="13">
        <v>2</v>
      </c>
      <c r="O25" s="13">
        <v>1</v>
      </c>
      <c r="P25" s="13">
        <v>1</v>
      </c>
      <c r="Q25" s="13">
        <v>2</v>
      </c>
      <c r="R25" s="13">
        <v>3</v>
      </c>
      <c r="S25" s="13">
        <v>1</v>
      </c>
      <c r="T25" s="14">
        <f t="shared" si="1"/>
        <v>1.5</v>
      </c>
      <c r="U25" s="13">
        <v>0</v>
      </c>
      <c r="V25" s="12" t="s">
        <v>260</v>
      </c>
      <c r="W25" s="12" t="s">
        <v>261</v>
      </c>
      <c r="X25" s="9"/>
      <c r="Y25" s="9"/>
      <c r="Z25" s="9"/>
    </row>
    <row r="26" spans="1:26" ht="80.099999999999994" customHeight="1" x14ac:dyDescent="0.25">
      <c r="A26" s="16" t="s">
        <v>188</v>
      </c>
      <c r="B26" s="7">
        <v>25</v>
      </c>
      <c r="C26" s="8">
        <f>ROUND('Scoring Model'!$B$4*N26+'Scoring Model'!$B$5*O26+'Scoring Model'!$B$6*P26+'Scoring Model'!$B$7*Q26+'Scoring Model'!$B$8*R26+'Scoring Model'!$B$9*S26+'Scoring Model'!$B$10*T26-'Scoring Model'!$B$11*U26,1)</f>
        <v>60</v>
      </c>
      <c r="D26" s="9" t="s">
        <v>262</v>
      </c>
      <c r="E26" s="9" t="s">
        <v>263</v>
      </c>
      <c r="F26" s="9" t="s">
        <v>264</v>
      </c>
      <c r="G26" s="10">
        <v>29300</v>
      </c>
      <c r="H26" s="10">
        <v>1106</v>
      </c>
      <c r="I26" s="11">
        <f t="shared" si="0"/>
        <v>26.491862567811935</v>
      </c>
      <c r="J26" s="9" t="s">
        <v>265</v>
      </c>
      <c r="K26" s="12" t="s">
        <v>266</v>
      </c>
      <c r="L26" s="12" t="s">
        <v>138</v>
      </c>
      <c r="M26" s="12" t="s">
        <v>267</v>
      </c>
      <c r="N26" s="13">
        <v>2</v>
      </c>
      <c r="O26" s="13">
        <v>1</v>
      </c>
      <c r="P26" s="13">
        <v>1</v>
      </c>
      <c r="Q26" s="13">
        <v>2</v>
      </c>
      <c r="R26" s="13">
        <v>3</v>
      </c>
      <c r="S26" s="13">
        <v>1</v>
      </c>
      <c r="T26" s="14">
        <f t="shared" si="1"/>
        <v>1.5</v>
      </c>
      <c r="U26" s="13">
        <v>0</v>
      </c>
      <c r="V26" s="12" t="s">
        <v>268</v>
      </c>
      <c r="W26" s="12" t="s">
        <v>269</v>
      </c>
      <c r="X26" s="9"/>
      <c r="Y26" s="9"/>
      <c r="Z26" s="9"/>
    </row>
    <row r="27" spans="1:26" ht="80.099999999999994" customHeight="1" x14ac:dyDescent="0.25">
      <c r="A27" s="16" t="s">
        <v>188</v>
      </c>
      <c r="B27" s="7">
        <v>26</v>
      </c>
      <c r="C27" s="8">
        <f>ROUND('Scoring Model'!$B$4*N27+'Scoring Model'!$B$5*O27+'Scoring Model'!$B$6*P27+'Scoring Model'!$B$7*Q27+'Scoring Model'!$B$8*R27+'Scoring Model'!$B$9*S27+'Scoring Model'!$B$10*T27-'Scoring Model'!$B$11*U27,1)</f>
        <v>60</v>
      </c>
      <c r="D27" s="9" t="s">
        <v>270</v>
      </c>
      <c r="E27" s="9" t="s">
        <v>271</v>
      </c>
      <c r="F27" s="9" t="s">
        <v>272</v>
      </c>
      <c r="G27" s="10">
        <v>6780</v>
      </c>
      <c r="H27" s="10">
        <v>795</v>
      </c>
      <c r="I27" s="11">
        <f t="shared" si="0"/>
        <v>8.5283018867924536</v>
      </c>
      <c r="J27" s="9" t="s">
        <v>136</v>
      </c>
      <c r="K27" s="12" t="s">
        <v>273</v>
      </c>
      <c r="L27" s="12" t="s">
        <v>274</v>
      </c>
      <c r="M27" s="12" t="s">
        <v>97</v>
      </c>
      <c r="N27" s="13">
        <v>2</v>
      </c>
      <c r="O27" s="13">
        <v>1</v>
      </c>
      <c r="P27" s="13">
        <v>2</v>
      </c>
      <c r="Q27" s="13">
        <v>3</v>
      </c>
      <c r="R27" s="13">
        <v>2</v>
      </c>
      <c r="S27" s="13">
        <v>1</v>
      </c>
      <c r="T27" s="14">
        <f t="shared" si="1"/>
        <v>0.5</v>
      </c>
      <c r="U27" s="13">
        <v>0</v>
      </c>
      <c r="V27" s="12" t="s">
        <v>275</v>
      </c>
      <c r="W27" s="12" t="s">
        <v>276</v>
      </c>
      <c r="X27" s="9"/>
      <c r="Y27" s="9"/>
      <c r="Z27" s="9"/>
    </row>
    <row r="28" spans="1:26" ht="80.099999999999994" customHeight="1" x14ac:dyDescent="0.25">
      <c r="A28" s="16" t="s">
        <v>188</v>
      </c>
      <c r="B28" s="7">
        <v>27</v>
      </c>
      <c r="C28" s="8">
        <f>ROUND('Scoring Model'!$B$4*N28+'Scoring Model'!$B$5*O28+'Scoring Model'!$B$6*P28+'Scoring Model'!$B$7*Q28+'Scoring Model'!$B$8*R28+'Scoring Model'!$B$9*S28+'Scoring Model'!$B$10*T28-'Scoring Model'!$B$11*U28,1)</f>
        <v>57.5</v>
      </c>
      <c r="D28" s="9" t="s">
        <v>277</v>
      </c>
      <c r="E28" s="9" t="s">
        <v>278</v>
      </c>
      <c r="F28" s="9" t="s">
        <v>279</v>
      </c>
      <c r="G28" s="10">
        <v>15800</v>
      </c>
      <c r="H28" s="10">
        <v>1508</v>
      </c>
      <c r="I28" s="11">
        <f t="shared" si="0"/>
        <v>10.477453580901857</v>
      </c>
      <c r="J28" s="9" t="s">
        <v>136</v>
      </c>
      <c r="K28" s="12" t="s">
        <v>280</v>
      </c>
      <c r="L28" s="12" t="s">
        <v>281</v>
      </c>
      <c r="M28" s="12" t="s">
        <v>97</v>
      </c>
      <c r="N28" s="13">
        <v>2</v>
      </c>
      <c r="O28" s="13">
        <v>1</v>
      </c>
      <c r="P28" s="13">
        <v>1</v>
      </c>
      <c r="Q28" s="13">
        <v>2</v>
      </c>
      <c r="R28" s="13">
        <v>3</v>
      </c>
      <c r="S28" s="13">
        <v>1</v>
      </c>
      <c r="T28" s="14">
        <f t="shared" si="1"/>
        <v>1</v>
      </c>
      <c r="U28" s="13">
        <v>0</v>
      </c>
      <c r="V28" s="12" t="s">
        <v>282</v>
      </c>
      <c r="W28" s="12" t="s">
        <v>283</v>
      </c>
      <c r="X28" s="9"/>
      <c r="Y28" s="9"/>
      <c r="Z28" s="9"/>
    </row>
    <row r="29" spans="1:26" ht="80.099999999999994" customHeight="1" x14ac:dyDescent="0.25">
      <c r="A29" s="17" t="s">
        <v>284</v>
      </c>
      <c r="B29" s="7">
        <v>28</v>
      </c>
      <c r="C29" s="8">
        <f>ROUND('Scoring Model'!$B$4*N29+'Scoring Model'!$B$5*O29+'Scoring Model'!$B$6*P29+'Scoring Model'!$B$7*Q29+'Scoring Model'!$B$8*R29+'Scoring Model'!$B$9*S29+'Scoring Model'!$B$10*T29-'Scoring Model'!$B$11*U29,1)</f>
        <v>61.5</v>
      </c>
      <c r="D29" s="9" t="s">
        <v>285</v>
      </c>
      <c r="E29" s="9" t="s">
        <v>286</v>
      </c>
      <c r="F29" s="9" t="s">
        <v>287</v>
      </c>
      <c r="G29" s="10">
        <v>88100</v>
      </c>
      <c r="H29" s="10">
        <v>442</v>
      </c>
      <c r="I29" s="11">
        <f t="shared" si="0"/>
        <v>199.3212669683258</v>
      </c>
      <c r="J29" s="9" t="s">
        <v>288</v>
      </c>
      <c r="K29" s="12" t="s">
        <v>289</v>
      </c>
      <c r="L29" s="12" t="s">
        <v>290</v>
      </c>
      <c r="M29" s="12" t="s">
        <v>192</v>
      </c>
      <c r="N29" s="13">
        <v>3</v>
      </c>
      <c r="O29" s="13">
        <v>2</v>
      </c>
      <c r="P29" s="13">
        <v>1</v>
      </c>
      <c r="Q29" s="13">
        <v>0</v>
      </c>
      <c r="R29" s="13">
        <v>2</v>
      </c>
      <c r="S29" s="13">
        <v>1</v>
      </c>
      <c r="T29" s="14">
        <f t="shared" si="1"/>
        <v>2</v>
      </c>
      <c r="U29" s="13">
        <v>0</v>
      </c>
      <c r="V29" s="12" t="s">
        <v>291</v>
      </c>
      <c r="W29" s="12" t="s">
        <v>292</v>
      </c>
      <c r="X29" s="9"/>
      <c r="Y29" s="9"/>
      <c r="Z29" s="9"/>
    </row>
    <row r="30" spans="1:26" ht="80.099999999999994" customHeight="1" x14ac:dyDescent="0.25">
      <c r="A30" s="17" t="s">
        <v>284</v>
      </c>
      <c r="B30" s="7">
        <v>29</v>
      </c>
      <c r="C30" s="8">
        <f>ROUND('Scoring Model'!$B$4*N30+'Scoring Model'!$B$5*O30+'Scoring Model'!$B$6*P30+'Scoring Model'!$B$7*Q30+'Scoring Model'!$B$8*R30+'Scoring Model'!$B$9*S30+'Scoring Model'!$B$10*T30-'Scoring Model'!$B$11*U30,1)</f>
        <v>59</v>
      </c>
      <c r="D30" s="9" t="s">
        <v>293</v>
      </c>
      <c r="E30" s="9" t="s">
        <v>294</v>
      </c>
      <c r="F30" s="9" t="s">
        <v>295</v>
      </c>
      <c r="G30" s="10">
        <v>55700</v>
      </c>
      <c r="H30" s="10">
        <v>1174</v>
      </c>
      <c r="I30" s="11">
        <f t="shared" si="0"/>
        <v>47.444633730834752</v>
      </c>
      <c r="J30" s="9" t="s">
        <v>296</v>
      </c>
      <c r="K30" s="12" t="s">
        <v>192</v>
      </c>
      <c r="L30" s="12" t="s">
        <v>297</v>
      </c>
      <c r="M30" s="12" t="s">
        <v>192</v>
      </c>
      <c r="N30" s="13">
        <v>3</v>
      </c>
      <c r="O30" s="13">
        <v>1</v>
      </c>
      <c r="P30" s="13">
        <v>2</v>
      </c>
      <c r="Q30" s="13">
        <v>1</v>
      </c>
      <c r="R30" s="13">
        <v>1</v>
      </c>
      <c r="S30" s="13">
        <v>1</v>
      </c>
      <c r="T30" s="14">
        <f t="shared" si="1"/>
        <v>1.5</v>
      </c>
      <c r="U30" s="13">
        <v>0</v>
      </c>
      <c r="V30" s="12" t="s">
        <v>298</v>
      </c>
      <c r="W30" s="12" t="s">
        <v>299</v>
      </c>
      <c r="X30" s="9"/>
      <c r="Y30" s="9"/>
      <c r="Z30" s="9"/>
    </row>
    <row r="31" spans="1:26" ht="80.099999999999994" customHeight="1" x14ac:dyDescent="0.25">
      <c r="A31" s="17" t="s">
        <v>284</v>
      </c>
      <c r="B31" s="7">
        <v>30</v>
      </c>
      <c r="C31" s="8">
        <f>ROUND('Scoring Model'!$B$4*N31+'Scoring Model'!$B$5*O31+'Scoring Model'!$B$6*P31+'Scoring Model'!$B$7*Q31+'Scoring Model'!$B$8*R31+'Scoring Model'!$B$9*S31+'Scoring Model'!$B$10*T31-'Scoring Model'!$B$11*U31,1)</f>
        <v>54.5</v>
      </c>
      <c r="D31" s="9" t="s">
        <v>300</v>
      </c>
      <c r="E31" s="9" t="s">
        <v>301</v>
      </c>
      <c r="F31" s="9" t="s">
        <v>302</v>
      </c>
      <c r="G31" s="10">
        <v>159000</v>
      </c>
      <c r="H31" s="10">
        <v>448</v>
      </c>
      <c r="I31" s="11">
        <f t="shared" si="0"/>
        <v>354.91071428571428</v>
      </c>
      <c r="J31" s="9" t="s">
        <v>136</v>
      </c>
      <c r="K31" s="12" t="s">
        <v>303</v>
      </c>
      <c r="L31" s="12" t="s">
        <v>304</v>
      </c>
      <c r="M31" s="12" t="s">
        <v>305</v>
      </c>
      <c r="N31" s="13">
        <v>2</v>
      </c>
      <c r="O31" s="13">
        <v>1</v>
      </c>
      <c r="P31" s="13">
        <v>1</v>
      </c>
      <c r="Q31" s="13">
        <v>0</v>
      </c>
      <c r="R31" s="13">
        <v>3</v>
      </c>
      <c r="S31" s="13">
        <v>1</v>
      </c>
      <c r="T31" s="14">
        <f t="shared" si="1"/>
        <v>2</v>
      </c>
      <c r="U31" s="13">
        <v>0</v>
      </c>
      <c r="V31" s="12" t="s">
        <v>306</v>
      </c>
      <c r="W31" s="12" t="s">
        <v>307</v>
      </c>
      <c r="X31" s="9"/>
      <c r="Y31" s="9"/>
      <c r="Z31" s="9"/>
    </row>
    <row r="32" spans="1:26" ht="80.099999999999994" customHeight="1" x14ac:dyDescent="0.25">
      <c r="A32" s="17" t="s">
        <v>284</v>
      </c>
      <c r="B32" s="7">
        <v>31</v>
      </c>
      <c r="C32" s="8">
        <f>ROUND('Scoring Model'!$B$4*N32+'Scoring Model'!$B$5*O32+'Scoring Model'!$B$6*P32+'Scoring Model'!$B$7*Q32+'Scoring Model'!$B$8*R32+'Scoring Model'!$B$9*S32+'Scoring Model'!$B$10*T32-'Scoring Model'!$B$11*U32,1)</f>
        <v>54.5</v>
      </c>
      <c r="D32" s="9" t="s">
        <v>308</v>
      </c>
      <c r="E32" s="9" t="s">
        <v>309</v>
      </c>
      <c r="F32" s="9" t="s">
        <v>310</v>
      </c>
      <c r="G32" s="10">
        <v>161000</v>
      </c>
      <c r="H32" s="10">
        <v>2691</v>
      </c>
      <c r="I32" s="11">
        <f t="shared" si="0"/>
        <v>59.82905982905983</v>
      </c>
      <c r="J32" s="9" t="s">
        <v>136</v>
      </c>
      <c r="K32" s="12" t="s">
        <v>311</v>
      </c>
      <c r="L32" s="12" t="s">
        <v>312</v>
      </c>
      <c r="M32" s="12" t="s">
        <v>192</v>
      </c>
      <c r="N32" s="13">
        <v>2</v>
      </c>
      <c r="O32" s="13">
        <v>1</v>
      </c>
      <c r="P32" s="13">
        <v>1</v>
      </c>
      <c r="Q32" s="13">
        <v>0</v>
      </c>
      <c r="R32" s="13">
        <v>3</v>
      </c>
      <c r="S32" s="13">
        <v>1</v>
      </c>
      <c r="T32" s="14">
        <f t="shared" si="1"/>
        <v>2</v>
      </c>
      <c r="U32" s="13">
        <v>0</v>
      </c>
      <c r="V32" s="12" t="s">
        <v>313</v>
      </c>
      <c r="W32" s="12" t="s">
        <v>314</v>
      </c>
      <c r="X32" s="9"/>
      <c r="Y32" s="9"/>
      <c r="Z32" s="9"/>
    </row>
    <row r="33" spans="1:26" ht="80.099999999999994" customHeight="1" x14ac:dyDescent="0.25">
      <c r="A33" s="17" t="s">
        <v>284</v>
      </c>
      <c r="B33" s="7">
        <v>32</v>
      </c>
      <c r="C33" s="8">
        <f>ROUND('Scoring Model'!$B$4*N33+'Scoring Model'!$B$5*O33+'Scoring Model'!$B$6*P33+'Scoring Model'!$B$7*Q33+'Scoring Model'!$B$8*R33+'Scoring Model'!$B$9*S33+'Scoring Model'!$B$10*T33-'Scoring Model'!$B$11*U33,1)</f>
        <v>52</v>
      </c>
      <c r="D33" s="9" t="s">
        <v>315</v>
      </c>
      <c r="E33" s="9" t="s">
        <v>316</v>
      </c>
      <c r="F33" s="9" t="s">
        <v>317</v>
      </c>
      <c r="G33" s="10">
        <v>105000</v>
      </c>
      <c r="H33" s="10">
        <v>2292</v>
      </c>
      <c r="I33" s="11">
        <f t="shared" si="0"/>
        <v>45.811518324607327</v>
      </c>
      <c r="J33" s="9" t="s">
        <v>136</v>
      </c>
      <c r="K33" s="12" t="s">
        <v>318</v>
      </c>
      <c r="L33" s="12" t="s">
        <v>319</v>
      </c>
      <c r="M33" s="12" t="s">
        <v>105</v>
      </c>
      <c r="N33" s="13">
        <v>2</v>
      </c>
      <c r="O33" s="13">
        <v>1</v>
      </c>
      <c r="P33" s="13">
        <v>1</v>
      </c>
      <c r="Q33" s="13">
        <v>0</v>
      </c>
      <c r="R33" s="13">
        <v>3</v>
      </c>
      <c r="S33" s="13">
        <v>1</v>
      </c>
      <c r="T33" s="14">
        <f t="shared" si="1"/>
        <v>1.5</v>
      </c>
      <c r="U33" s="13">
        <v>0</v>
      </c>
      <c r="V33" s="12" t="s">
        <v>320</v>
      </c>
      <c r="W33" s="12" t="s">
        <v>321</v>
      </c>
      <c r="X33" s="9"/>
      <c r="Y33" s="9"/>
      <c r="Z33" s="9"/>
    </row>
    <row r="34" spans="1:26" ht="80.099999999999994" customHeight="1" x14ac:dyDescent="0.25">
      <c r="A34" s="17" t="s">
        <v>284</v>
      </c>
      <c r="B34" s="7">
        <v>33</v>
      </c>
      <c r="C34" s="8">
        <f>ROUND('Scoring Model'!$B$4*N34+'Scoring Model'!$B$5*O34+'Scoring Model'!$B$6*P34+'Scoring Model'!$B$7*Q34+'Scoring Model'!$B$8*R34+'Scoring Model'!$B$9*S34+'Scoring Model'!$B$10*T34-'Scoring Model'!$B$11*U34,1)</f>
        <v>49.5</v>
      </c>
      <c r="D34" s="9" t="s">
        <v>322</v>
      </c>
      <c r="E34" s="9" t="s">
        <v>323</v>
      </c>
      <c r="F34" s="9" t="s">
        <v>324</v>
      </c>
      <c r="G34" s="10">
        <v>120000</v>
      </c>
      <c r="H34" s="10">
        <v>1967</v>
      </c>
      <c r="I34" s="11">
        <f t="shared" ref="I34:I65" si="2">IFERROR(G34/H34,0)</f>
        <v>61.006609049313674</v>
      </c>
      <c r="J34" s="9" t="s">
        <v>136</v>
      </c>
      <c r="K34" s="12" t="s">
        <v>325</v>
      </c>
      <c r="L34" s="12" t="s">
        <v>326</v>
      </c>
      <c r="M34" s="12" t="s">
        <v>192</v>
      </c>
      <c r="N34" s="13">
        <v>2</v>
      </c>
      <c r="O34" s="13">
        <v>1</v>
      </c>
      <c r="P34" s="13">
        <v>1</v>
      </c>
      <c r="Q34" s="13">
        <v>0</v>
      </c>
      <c r="R34" s="13">
        <v>2</v>
      </c>
      <c r="S34" s="13">
        <v>1</v>
      </c>
      <c r="T34" s="14">
        <f t="shared" ref="T34:T60" si="3">IF(I34&gt;=50,2,IF(I34&gt;=20,1.5,IF(I34&gt;=10,1,IF(I34&gt;=5,0.5,0.25))))</f>
        <v>2</v>
      </c>
      <c r="U34" s="13">
        <v>0</v>
      </c>
      <c r="V34" s="12" t="s">
        <v>327</v>
      </c>
      <c r="W34" s="12" t="s">
        <v>328</v>
      </c>
      <c r="X34" s="9"/>
      <c r="Y34" s="9"/>
      <c r="Z34" s="9"/>
    </row>
    <row r="35" spans="1:26" ht="80.099999999999994" customHeight="1" x14ac:dyDescent="0.25">
      <c r="A35" s="17" t="s">
        <v>284</v>
      </c>
      <c r="B35" s="7">
        <v>34</v>
      </c>
      <c r="C35" s="8">
        <f>ROUND('Scoring Model'!$B$4*N35+'Scoring Model'!$B$5*O35+'Scoring Model'!$B$6*P35+'Scoring Model'!$B$7*Q35+'Scoring Model'!$B$8*R35+'Scoring Model'!$B$9*S35+'Scoring Model'!$B$10*T35-'Scoring Model'!$B$11*U35,1)</f>
        <v>44.5</v>
      </c>
      <c r="D35" s="9" t="s">
        <v>329</v>
      </c>
      <c r="E35" s="9" t="s">
        <v>330</v>
      </c>
      <c r="F35" s="9" t="s">
        <v>331</v>
      </c>
      <c r="G35" s="10">
        <v>172000</v>
      </c>
      <c r="H35" s="10">
        <v>1878</v>
      </c>
      <c r="I35" s="11">
        <f t="shared" si="2"/>
        <v>91.586794462193822</v>
      </c>
      <c r="J35" s="9" t="s">
        <v>136</v>
      </c>
      <c r="K35" s="12" t="s">
        <v>332</v>
      </c>
      <c r="L35" s="12" t="s">
        <v>333</v>
      </c>
      <c r="M35" s="12" t="s">
        <v>334</v>
      </c>
      <c r="N35" s="13">
        <v>2</v>
      </c>
      <c r="O35" s="13">
        <v>0</v>
      </c>
      <c r="P35" s="13">
        <v>1</v>
      </c>
      <c r="Q35" s="13">
        <v>0</v>
      </c>
      <c r="R35" s="13">
        <v>2</v>
      </c>
      <c r="S35" s="13">
        <v>1</v>
      </c>
      <c r="T35" s="14">
        <f t="shared" si="3"/>
        <v>2</v>
      </c>
      <c r="U35" s="13">
        <v>0</v>
      </c>
      <c r="V35" s="12" t="s">
        <v>335</v>
      </c>
      <c r="W35" s="12" t="s">
        <v>336</v>
      </c>
      <c r="X35" s="9"/>
      <c r="Y35" s="9"/>
      <c r="Z35" s="9"/>
    </row>
    <row r="36" spans="1:26" ht="80.099999999999994" customHeight="1" x14ac:dyDescent="0.25">
      <c r="A36" s="18" t="s">
        <v>337</v>
      </c>
      <c r="B36" s="7">
        <v>35</v>
      </c>
      <c r="C36" s="8">
        <f>ROUND('Scoring Model'!$B$4*N36+'Scoring Model'!$B$5*O36+'Scoring Model'!$B$6*P36+'Scoring Model'!$B$7*Q36+'Scoring Model'!$B$8*R36+'Scoring Model'!$B$9*S36+'Scoring Model'!$B$10*T36-'Scoring Model'!$B$11*U36,1)</f>
        <v>71.5</v>
      </c>
      <c r="D36" s="9" t="s">
        <v>338</v>
      </c>
      <c r="E36" s="9" t="s">
        <v>339</v>
      </c>
      <c r="F36" s="9" t="s">
        <v>340</v>
      </c>
      <c r="G36" s="10">
        <v>4355</v>
      </c>
      <c r="H36" s="10">
        <v>187</v>
      </c>
      <c r="I36" s="11">
        <f t="shared" si="2"/>
        <v>23.288770053475936</v>
      </c>
      <c r="J36" s="9" t="s">
        <v>136</v>
      </c>
      <c r="K36" s="12" t="s">
        <v>341</v>
      </c>
      <c r="L36" s="12" t="s">
        <v>342</v>
      </c>
      <c r="M36" s="12" t="s">
        <v>97</v>
      </c>
      <c r="N36" s="13">
        <v>3</v>
      </c>
      <c r="O36" s="13">
        <v>3</v>
      </c>
      <c r="P36" s="13">
        <v>1</v>
      </c>
      <c r="Q36" s="13">
        <v>3</v>
      </c>
      <c r="R36" s="13">
        <v>2</v>
      </c>
      <c r="S36" s="13">
        <v>0</v>
      </c>
      <c r="T36" s="14">
        <f t="shared" si="3"/>
        <v>1.5</v>
      </c>
      <c r="U36" s="13">
        <v>0</v>
      </c>
      <c r="V36" s="12" t="s">
        <v>343</v>
      </c>
      <c r="W36" s="12" t="s">
        <v>344</v>
      </c>
      <c r="X36" s="9"/>
      <c r="Y36" s="9"/>
      <c r="Z36" s="9"/>
    </row>
    <row r="37" spans="1:26" ht="80.099999999999994" customHeight="1" x14ac:dyDescent="0.25">
      <c r="A37" s="18" t="s">
        <v>337</v>
      </c>
      <c r="B37" s="7">
        <v>36</v>
      </c>
      <c r="C37" s="8">
        <f>ROUND('Scoring Model'!$B$4*N37+'Scoring Model'!$B$5*O37+'Scoring Model'!$B$6*P37+'Scoring Model'!$B$7*Q37+'Scoring Model'!$B$8*R37+'Scoring Model'!$B$9*S37+'Scoring Model'!$B$10*T37-'Scoring Model'!$B$11*U37,1)</f>
        <v>65.5</v>
      </c>
      <c r="D37" s="9" t="s">
        <v>345</v>
      </c>
      <c r="E37" s="9" t="s">
        <v>346</v>
      </c>
      <c r="F37" s="9" t="s">
        <v>347</v>
      </c>
      <c r="G37" s="10">
        <v>4015</v>
      </c>
      <c r="H37" s="10">
        <v>690</v>
      </c>
      <c r="I37" s="11">
        <f t="shared" si="2"/>
        <v>5.8188405797101446</v>
      </c>
      <c r="J37" s="9" t="s">
        <v>348</v>
      </c>
      <c r="K37" s="12" t="s">
        <v>349</v>
      </c>
      <c r="L37" s="12" t="s">
        <v>350</v>
      </c>
      <c r="M37" s="12" t="s">
        <v>97</v>
      </c>
      <c r="N37" s="13">
        <v>2</v>
      </c>
      <c r="O37" s="13">
        <v>3</v>
      </c>
      <c r="P37" s="13">
        <v>2</v>
      </c>
      <c r="Q37" s="13">
        <v>3</v>
      </c>
      <c r="R37" s="13">
        <v>2</v>
      </c>
      <c r="S37" s="13">
        <v>0</v>
      </c>
      <c r="T37" s="14">
        <f t="shared" si="3"/>
        <v>0.5</v>
      </c>
      <c r="U37" s="13">
        <v>0</v>
      </c>
      <c r="V37" s="12" t="s">
        <v>351</v>
      </c>
      <c r="W37" s="12" t="s">
        <v>352</v>
      </c>
      <c r="X37" s="9"/>
      <c r="Y37" s="9"/>
      <c r="Z37" s="9"/>
    </row>
    <row r="38" spans="1:26" ht="80.099999999999994" customHeight="1" x14ac:dyDescent="0.25">
      <c r="A38" s="18" t="s">
        <v>337</v>
      </c>
      <c r="B38" s="7">
        <v>37</v>
      </c>
      <c r="C38" s="8">
        <f>ROUND('Scoring Model'!$B$4*N38+'Scoring Model'!$B$5*O38+'Scoring Model'!$B$6*P38+'Scoring Model'!$B$7*Q38+'Scoring Model'!$B$8*R38+'Scoring Model'!$B$9*S38+'Scoring Model'!$B$10*T38-'Scoring Model'!$B$11*U38,1)</f>
        <v>63.3</v>
      </c>
      <c r="D38" s="9" t="s">
        <v>353</v>
      </c>
      <c r="E38" s="9" t="s">
        <v>354</v>
      </c>
      <c r="F38" s="9" t="s">
        <v>355</v>
      </c>
      <c r="G38" s="10">
        <v>6040</v>
      </c>
      <c r="H38" s="10">
        <v>1303</v>
      </c>
      <c r="I38" s="11">
        <f t="shared" si="2"/>
        <v>4.6354566385264775</v>
      </c>
      <c r="J38" s="9" t="s">
        <v>356</v>
      </c>
      <c r="K38" s="12" t="s">
        <v>357</v>
      </c>
      <c r="L38" s="12" t="s">
        <v>358</v>
      </c>
      <c r="M38" s="12" t="s">
        <v>359</v>
      </c>
      <c r="N38" s="13">
        <v>2</v>
      </c>
      <c r="O38" s="13">
        <v>3</v>
      </c>
      <c r="P38" s="13">
        <v>1</v>
      </c>
      <c r="Q38" s="13">
        <v>3</v>
      </c>
      <c r="R38" s="13">
        <v>3</v>
      </c>
      <c r="S38" s="13">
        <v>0</v>
      </c>
      <c r="T38" s="14">
        <f t="shared" si="3"/>
        <v>0.25</v>
      </c>
      <c r="U38" s="13">
        <v>0</v>
      </c>
      <c r="V38" s="12" t="s">
        <v>360</v>
      </c>
      <c r="W38" s="12" t="s">
        <v>361</v>
      </c>
      <c r="X38" s="9"/>
      <c r="Y38" s="9"/>
      <c r="Z38" s="9"/>
    </row>
    <row r="39" spans="1:26" ht="80.099999999999994" customHeight="1" x14ac:dyDescent="0.25">
      <c r="A39" s="18" t="s">
        <v>337</v>
      </c>
      <c r="B39" s="7">
        <v>38</v>
      </c>
      <c r="C39" s="8">
        <f>ROUND('Scoring Model'!$B$4*N39+'Scoring Model'!$B$5*O39+'Scoring Model'!$B$6*P39+'Scoring Model'!$B$7*Q39+'Scoring Model'!$B$8*R39+'Scoring Model'!$B$9*S39+'Scoring Model'!$B$10*T39-'Scoring Model'!$B$11*U39,1)</f>
        <v>59.5</v>
      </c>
      <c r="D39" s="9" t="s">
        <v>362</v>
      </c>
      <c r="E39" s="9" t="s">
        <v>142</v>
      </c>
      <c r="F39" s="9" t="s">
        <v>363</v>
      </c>
      <c r="G39" s="10">
        <v>4558</v>
      </c>
      <c r="H39" s="10">
        <v>673</v>
      </c>
      <c r="I39" s="11">
        <f t="shared" si="2"/>
        <v>6.7726597325408617</v>
      </c>
      <c r="J39" s="9" t="s">
        <v>136</v>
      </c>
      <c r="K39" s="12" t="s">
        <v>364</v>
      </c>
      <c r="L39" s="12" t="s">
        <v>365</v>
      </c>
      <c r="M39" s="12" t="s">
        <v>366</v>
      </c>
      <c r="N39" s="13">
        <v>2</v>
      </c>
      <c r="O39" s="13">
        <v>3</v>
      </c>
      <c r="P39" s="13">
        <v>1</v>
      </c>
      <c r="Q39" s="13">
        <v>3</v>
      </c>
      <c r="R39" s="13">
        <v>2</v>
      </c>
      <c r="S39" s="13">
        <v>0</v>
      </c>
      <c r="T39" s="14">
        <f t="shared" si="3"/>
        <v>0.5</v>
      </c>
      <c r="U39" s="13">
        <v>0</v>
      </c>
      <c r="V39" s="12" t="s">
        <v>367</v>
      </c>
      <c r="W39" s="12" t="s">
        <v>368</v>
      </c>
      <c r="X39" s="9"/>
      <c r="Y39" s="9"/>
      <c r="Z39" s="9"/>
    </row>
    <row r="40" spans="1:26" ht="80.099999999999994" customHeight="1" x14ac:dyDescent="0.25">
      <c r="A40" s="18" t="s">
        <v>337</v>
      </c>
      <c r="B40" s="7">
        <v>39</v>
      </c>
      <c r="C40" s="8">
        <f>ROUND('Scoring Model'!$B$4*N40+'Scoring Model'!$B$5*O40+'Scoring Model'!$B$6*P40+'Scoring Model'!$B$7*Q40+'Scoring Model'!$B$8*R40+'Scoring Model'!$B$9*S40+'Scoring Model'!$B$10*T40-'Scoring Model'!$B$11*U40,1)</f>
        <v>59.5</v>
      </c>
      <c r="D40" s="9" t="s">
        <v>369</v>
      </c>
      <c r="E40" s="9" t="s">
        <v>370</v>
      </c>
      <c r="F40" s="9" t="s">
        <v>371</v>
      </c>
      <c r="G40" s="10">
        <v>2473</v>
      </c>
      <c r="H40" s="10">
        <v>375</v>
      </c>
      <c r="I40" s="11">
        <f t="shared" si="2"/>
        <v>6.5946666666666669</v>
      </c>
      <c r="J40" s="9" t="s">
        <v>182</v>
      </c>
      <c r="K40" s="12" t="s">
        <v>372</v>
      </c>
      <c r="L40" s="12" t="s">
        <v>373</v>
      </c>
      <c r="M40" s="12" t="s">
        <v>97</v>
      </c>
      <c r="N40" s="13">
        <v>2</v>
      </c>
      <c r="O40" s="13">
        <v>3</v>
      </c>
      <c r="P40" s="13">
        <v>1</v>
      </c>
      <c r="Q40" s="13">
        <v>3</v>
      </c>
      <c r="R40" s="13">
        <v>2</v>
      </c>
      <c r="S40" s="13">
        <v>0</v>
      </c>
      <c r="T40" s="14">
        <f t="shared" si="3"/>
        <v>0.5</v>
      </c>
      <c r="U40" s="13">
        <v>0</v>
      </c>
      <c r="V40" s="12" t="s">
        <v>374</v>
      </c>
      <c r="W40" s="12" t="s">
        <v>375</v>
      </c>
      <c r="X40" s="9"/>
      <c r="Y40" s="9"/>
      <c r="Z40" s="9"/>
    </row>
    <row r="41" spans="1:26" ht="80.099999999999994" customHeight="1" x14ac:dyDescent="0.25">
      <c r="A41" s="18" t="s">
        <v>337</v>
      </c>
      <c r="B41" s="7">
        <v>40</v>
      </c>
      <c r="C41" s="8">
        <f>ROUND('Scoring Model'!$B$4*N41+'Scoring Model'!$B$5*O41+'Scoring Model'!$B$6*P41+'Scoring Model'!$B$7*Q41+'Scoring Model'!$B$8*R41+'Scoring Model'!$B$9*S41+'Scoring Model'!$B$10*T41-'Scoring Model'!$B$11*U41,1)</f>
        <v>52.3</v>
      </c>
      <c r="D41" s="9" t="s">
        <v>376</v>
      </c>
      <c r="E41" s="9" t="s">
        <v>377</v>
      </c>
      <c r="F41" s="9" t="s">
        <v>378</v>
      </c>
      <c r="G41" s="10">
        <v>408</v>
      </c>
      <c r="H41" s="10">
        <v>2394</v>
      </c>
      <c r="I41" s="11">
        <f t="shared" si="2"/>
        <v>0.17042606516290726</v>
      </c>
      <c r="J41" s="9" t="s">
        <v>379</v>
      </c>
      <c r="K41" s="12" t="s">
        <v>380</v>
      </c>
      <c r="L41" s="12" t="s">
        <v>381</v>
      </c>
      <c r="M41" s="12" t="s">
        <v>97</v>
      </c>
      <c r="N41" s="13">
        <v>1</v>
      </c>
      <c r="O41" s="13">
        <v>2</v>
      </c>
      <c r="P41" s="13">
        <v>2</v>
      </c>
      <c r="Q41" s="13">
        <v>3</v>
      </c>
      <c r="R41" s="13">
        <v>2</v>
      </c>
      <c r="S41" s="13">
        <v>0</v>
      </c>
      <c r="T41" s="14">
        <f t="shared" si="3"/>
        <v>0.25</v>
      </c>
      <c r="U41" s="13">
        <v>0</v>
      </c>
      <c r="V41" s="12" t="s">
        <v>382</v>
      </c>
      <c r="W41" s="12" t="s">
        <v>383</v>
      </c>
      <c r="X41" s="9"/>
      <c r="Y41" s="9"/>
      <c r="Z41" s="9"/>
    </row>
    <row r="42" spans="1:26" ht="80.099999999999994" customHeight="1" x14ac:dyDescent="0.25">
      <c r="A42" s="19" t="s">
        <v>384</v>
      </c>
      <c r="B42" s="7">
        <v>41</v>
      </c>
      <c r="C42" s="8">
        <f>ROUND('Scoring Model'!$B$4*N42+'Scoring Model'!$B$5*O42+'Scoring Model'!$B$6*P42+'Scoring Model'!$B$7*Q42+'Scoring Model'!$B$8*R42+'Scoring Model'!$B$9*S42+'Scoring Model'!$B$10*T42-'Scoring Model'!$B$11*U42,1)</f>
        <v>59</v>
      </c>
      <c r="D42" s="9" t="s">
        <v>385</v>
      </c>
      <c r="E42" s="9" t="s">
        <v>386</v>
      </c>
      <c r="F42" s="9" t="s">
        <v>387</v>
      </c>
      <c r="G42" s="10">
        <v>14900</v>
      </c>
      <c r="H42" s="10">
        <v>540</v>
      </c>
      <c r="I42" s="11">
        <f t="shared" si="2"/>
        <v>27.592592592592592</v>
      </c>
      <c r="J42" s="9" t="s">
        <v>136</v>
      </c>
      <c r="K42" s="12" t="s">
        <v>388</v>
      </c>
      <c r="L42" s="12" t="s">
        <v>389</v>
      </c>
      <c r="M42" s="12" t="s">
        <v>236</v>
      </c>
      <c r="N42" s="13">
        <v>2</v>
      </c>
      <c r="O42" s="13">
        <v>2</v>
      </c>
      <c r="P42" s="13">
        <v>1</v>
      </c>
      <c r="Q42" s="13">
        <v>3</v>
      </c>
      <c r="R42" s="13">
        <v>1</v>
      </c>
      <c r="S42" s="13">
        <v>1</v>
      </c>
      <c r="T42" s="14">
        <f t="shared" si="3"/>
        <v>1.5</v>
      </c>
      <c r="U42" s="13">
        <v>0</v>
      </c>
      <c r="V42" s="12" t="s">
        <v>390</v>
      </c>
      <c r="W42" s="12" t="s">
        <v>391</v>
      </c>
      <c r="X42" s="9"/>
      <c r="Y42" s="9"/>
      <c r="Z42" s="9"/>
    </row>
    <row r="43" spans="1:26" ht="80.099999999999994" customHeight="1" x14ac:dyDescent="0.25">
      <c r="A43" s="19" t="s">
        <v>384</v>
      </c>
      <c r="B43" s="7">
        <v>42</v>
      </c>
      <c r="C43" s="8">
        <f>ROUND('Scoring Model'!$B$4*N43+'Scoring Model'!$B$5*O43+'Scoring Model'!$B$6*P43+'Scoring Model'!$B$7*Q43+'Scoring Model'!$B$8*R43+'Scoring Model'!$B$9*S43+'Scoring Model'!$B$10*T43-'Scoring Model'!$B$11*U43,1)</f>
        <v>57.8</v>
      </c>
      <c r="D43" s="9" t="s">
        <v>392</v>
      </c>
      <c r="E43" s="9" t="s">
        <v>393</v>
      </c>
      <c r="F43" s="9" t="s">
        <v>394</v>
      </c>
      <c r="G43" s="10">
        <v>8272</v>
      </c>
      <c r="H43" s="10">
        <v>2946</v>
      </c>
      <c r="I43" s="11">
        <f t="shared" si="2"/>
        <v>2.8078750848608283</v>
      </c>
      <c r="J43" s="9" t="s">
        <v>136</v>
      </c>
      <c r="K43" s="12" t="s">
        <v>395</v>
      </c>
      <c r="L43" s="12" t="s">
        <v>396</v>
      </c>
      <c r="M43" s="12" t="s">
        <v>397</v>
      </c>
      <c r="N43" s="13">
        <v>2</v>
      </c>
      <c r="O43" s="13">
        <v>2</v>
      </c>
      <c r="P43" s="13">
        <v>1</v>
      </c>
      <c r="Q43" s="13">
        <v>3</v>
      </c>
      <c r="R43" s="13">
        <v>2</v>
      </c>
      <c r="S43" s="13">
        <v>1</v>
      </c>
      <c r="T43" s="14">
        <f t="shared" si="3"/>
        <v>0.25</v>
      </c>
      <c r="U43" s="13">
        <v>0</v>
      </c>
      <c r="V43" s="12" t="s">
        <v>398</v>
      </c>
      <c r="W43" s="12" t="s">
        <v>399</v>
      </c>
      <c r="X43" s="9"/>
      <c r="Y43" s="9"/>
      <c r="Z43" s="9"/>
    </row>
    <row r="44" spans="1:26" ht="80.099999999999994" customHeight="1" x14ac:dyDescent="0.25">
      <c r="A44" s="19" t="s">
        <v>384</v>
      </c>
      <c r="B44" s="7">
        <v>43</v>
      </c>
      <c r="C44" s="8">
        <f>ROUND('Scoring Model'!$B$4*N44+'Scoring Model'!$B$5*O44+'Scoring Model'!$B$6*P44+'Scoring Model'!$B$7*Q44+'Scoring Model'!$B$8*R44+'Scoring Model'!$B$9*S44+'Scoring Model'!$B$10*T44-'Scoring Model'!$B$11*U44,1)</f>
        <v>55.8</v>
      </c>
      <c r="D44" s="9" t="s">
        <v>400</v>
      </c>
      <c r="E44" s="9" t="s">
        <v>401</v>
      </c>
      <c r="F44" s="9" t="s">
        <v>402</v>
      </c>
      <c r="G44" s="10">
        <v>5474</v>
      </c>
      <c r="H44" s="10">
        <v>2457</v>
      </c>
      <c r="I44" s="11">
        <f t="shared" si="2"/>
        <v>2.2279202279202277</v>
      </c>
      <c r="J44" s="9" t="s">
        <v>403</v>
      </c>
      <c r="K44" s="12" t="s">
        <v>404</v>
      </c>
      <c r="L44" s="12" t="s">
        <v>405</v>
      </c>
      <c r="M44" s="12" t="s">
        <v>406</v>
      </c>
      <c r="N44" s="13">
        <v>1</v>
      </c>
      <c r="O44" s="13">
        <v>3</v>
      </c>
      <c r="P44" s="13">
        <v>1</v>
      </c>
      <c r="Q44" s="13">
        <v>3</v>
      </c>
      <c r="R44" s="13">
        <v>2</v>
      </c>
      <c r="S44" s="13">
        <v>1</v>
      </c>
      <c r="T44" s="14">
        <f t="shared" si="3"/>
        <v>0.25</v>
      </c>
      <c r="U44" s="13">
        <v>0</v>
      </c>
      <c r="V44" s="12" t="s">
        <v>407</v>
      </c>
      <c r="W44" s="12" t="s">
        <v>408</v>
      </c>
      <c r="X44" s="9"/>
      <c r="Y44" s="9"/>
      <c r="Z44" s="9"/>
    </row>
    <row r="45" spans="1:26" ht="80.099999999999994" customHeight="1" x14ac:dyDescent="0.25">
      <c r="A45" s="19" t="s">
        <v>384</v>
      </c>
      <c r="B45" s="7">
        <v>44</v>
      </c>
      <c r="C45" s="8">
        <f>ROUND('Scoring Model'!$B$4*N45+'Scoring Model'!$B$5*O45+'Scoring Model'!$B$6*P45+'Scoring Model'!$B$7*Q45+'Scoring Model'!$B$8*R45+'Scoring Model'!$B$9*S45+'Scoring Model'!$B$10*T45-'Scoring Model'!$B$11*U45,1)</f>
        <v>55</v>
      </c>
      <c r="D45" s="9" t="s">
        <v>409</v>
      </c>
      <c r="E45" s="9" t="s">
        <v>410</v>
      </c>
      <c r="F45" s="9" t="s">
        <v>411</v>
      </c>
      <c r="G45" s="10">
        <v>19700</v>
      </c>
      <c r="H45" s="10">
        <v>412</v>
      </c>
      <c r="I45" s="11">
        <f t="shared" si="2"/>
        <v>47.815533980582522</v>
      </c>
      <c r="J45" s="9" t="s">
        <v>136</v>
      </c>
      <c r="K45" s="12" t="s">
        <v>192</v>
      </c>
      <c r="L45" s="12" t="s">
        <v>412</v>
      </c>
      <c r="M45" s="12" t="s">
        <v>97</v>
      </c>
      <c r="N45" s="13">
        <v>2</v>
      </c>
      <c r="O45" s="13">
        <v>1</v>
      </c>
      <c r="P45" s="13">
        <v>1</v>
      </c>
      <c r="Q45" s="13">
        <v>2</v>
      </c>
      <c r="R45" s="13">
        <v>2</v>
      </c>
      <c r="S45" s="13">
        <v>1</v>
      </c>
      <c r="T45" s="14">
        <f t="shared" si="3"/>
        <v>1.5</v>
      </c>
      <c r="U45" s="13">
        <v>0</v>
      </c>
      <c r="V45" s="12" t="s">
        <v>413</v>
      </c>
      <c r="W45" s="12" t="s">
        <v>414</v>
      </c>
      <c r="X45" s="9"/>
      <c r="Y45" s="9"/>
      <c r="Z45" s="9"/>
    </row>
    <row r="46" spans="1:26" ht="80.099999999999994" customHeight="1" x14ac:dyDescent="0.25">
      <c r="A46" s="19" t="s">
        <v>384</v>
      </c>
      <c r="B46" s="7">
        <v>45</v>
      </c>
      <c r="C46" s="8">
        <f>ROUND('Scoring Model'!$B$4*N46+'Scoring Model'!$B$5*O46+'Scoring Model'!$B$6*P46+'Scoring Model'!$B$7*Q46+'Scoring Model'!$B$8*R46+'Scoring Model'!$B$9*S46+'Scoring Model'!$B$10*T46-'Scoring Model'!$B$11*U46,1)</f>
        <v>54.5</v>
      </c>
      <c r="D46" s="9" t="s">
        <v>415</v>
      </c>
      <c r="E46" s="9" t="s">
        <v>416</v>
      </c>
      <c r="F46" s="9" t="s">
        <v>417</v>
      </c>
      <c r="G46" s="10">
        <v>22000</v>
      </c>
      <c r="H46" s="10">
        <v>2423</v>
      </c>
      <c r="I46" s="11">
        <f t="shared" si="2"/>
        <v>9.0796533223276921</v>
      </c>
      <c r="J46" s="9" t="s">
        <v>136</v>
      </c>
      <c r="K46" s="12" t="s">
        <v>192</v>
      </c>
      <c r="L46" s="12" t="s">
        <v>418</v>
      </c>
      <c r="M46" s="12" t="s">
        <v>97</v>
      </c>
      <c r="N46" s="13">
        <v>2</v>
      </c>
      <c r="O46" s="13">
        <v>1</v>
      </c>
      <c r="P46" s="13">
        <v>1</v>
      </c>
      <c r="Q46" s="13">
        <v>2</v>
      </c>
      <c r="R46" s="13">
        <v>2</v>
      </c>
      <c r="S46" s="13">
        <v>2</v>
      </c>
      <c r="T46" s="14">
        <f t="shared" si="3"/>
        <v>0.5</v>
      </c>
      <c r="U46" s="13">
        <v>0</v>
      </c>
      <c r="V46" s="12" t="s">
        <v>419</v>
      </c>
      <c r="W46" s="12" t="s">
        <v>420</v>
      </c>
      <c r="X46" s="9"/>
      <c r="Y46" s="9"/>
      <c r="Z46" s="9"/>
    </row>
    <row r="47" spans="1:26" ht="80.099999999999994" customHeight="1" x14ac:dyDescent="0.25">
      <c r="A47" s="19" t="s">
        <v>384</v>
      </c>
      <c r="B47" s="7">
        <v>46</v>
      </c>
      <c r="C47" s="8">
        <f>ROUND('Scoring Model'!$B$4*N47+'Scoring Model'!$B$5*O47+'Scoring Model'!$B$6*P47+'Scoring Model'!$B$7*Q47+'Scoring Model'!$B$8*R47+'Scoring Model'!$B$9*S47+'Scoring Model'!$B$10*T47-'Scoring Model'!$B$11*U47,1)</f>
        <v>54.5</v>
      </c>
      <c r="D47" s="9" t="s">
        <v>421</v>
      </c>
      <c r="E47" s="9" t="s">
        <v>422</v>
      </c>
      <c r="F47" s="9" t="s">
        <v>423</v>
      </c>
      <c r="G47" s="10">
        <v>12800</v>
      </c>
      <c r="H47" s="10">
        <v>1388</v>
      </c>
      <c r="I47" s="11">
        <f t="shared" si="2"/>
        <v>9.2219020172910664</v>
      </c>
      <c r="J47" s="9" t="s">
        <v>136</v>
      </c>
      <c r="K47" s="12" t="s">
        <v>424</v>
      </c>
      <c r="L47" s="12" t="s">
        <v>425</v>
      </c>
      <c r="M47" s="12" t="s">
        <v>97</v>
      </c>
      <c r="N47" s="13">
        <v>2</v>
      </c>
      <c r="O47" s="13">
        <v>2</v>
      </c>
      <c r="P47" s="13">
        <v>1</v>
      </c>
      <c r="Q47" s="13">
        <v>3</v>
      </c>
      <c r="R47" s="13">
        <v>2</v>
      </c>
      <c r="S47" s="13">
        <v>0</v>
      </c>
      <c r="T47" s="14">
        <f t="shared" si="3"/>
        <v>0.5</v>
      </c>
      <c r="U47" s="13">
        <v>0</v>
      </c>
      <c r="V47" s="12" t="s">
        <v>426</v>
      </c>
      <c r="W47" s="12" t="s">
        <v>427</v>
      </c>
      <c r="X47" s="9"/>
      <c r="Y47" s="9"/>
      <c r="Z47" s="9"/>
    </row>
    <row r="48" spans="1:26" ht="80.099999999999994" customHeight="1" x14ac:dyDescent="0.25">
      <c r="A48" s="19" t="s">
        <v>384</v>
      </c>
      <c r="B48" s="7">
        <v>47</v>
      </c>
      <c r="C48" s="8">
        <f>ROUND('Scoring Model'!$B$4*N48+'Scoring Model'!$B$5*O48+'Scoring Model'!$B$6*P48+'Scoring Model'!$B$7*Q48+'Scoring Model'!$B$8*R48+'Scoring Model'!$B$9*S48+'Scoring Model'!$B$10*T48-'Scoring Model'!$B$11*U48,1)</f>
        <v>52</v>
      </c>
      <c r="D48" s="9" t="s">
        <v>428</v>
      </c>
      <c r="E48" s="9" t="s">
        <v>429</v>
      </c>
      <c r="F48" s="9" t="s">
        <v>430</v>
      </c>
      <c r="G48" s="10">
        <v>46900</v>
      </c>
      <c r="H48" s="10">
        <v>402</v>
      </c>
      <c r="I48" s="11">
        <f t="shared" si="2"/>
        <v>116.66666666666667</v>
      </c>
      <c r="J48" s="9" t="s">
        <v>86</v>
      </c>
      <c r="K48" s="12" t="s">
        <v>78</v>
      </c>
      <c r="L48" s="12" t="s">
        <v>431</v>
      </c>
      <c r="M48" s="12" t="s">
        <v>432</v>
      </c>
      <c r="N48" s="13">
        <v>1</v>
      </c>
      <c r="O48" s="13">
        <v>1</v>
      </c>
      <c r="P48" s="13">
        <v>2</v>
      </c>
      <c r="Q48" s="13">
        <v>1</v>
      </c>
      <c r="R48" s="13">
        <v>1</v>
      </c>
      <c r="S48" s="13">
        <v>2</v>
      </c>
      <c r="T48" s="14">
        <f t="shared" si="3"/>
        <v>2</v>
      </c>
      <c r="U48" s="13">
        <v>0</v>
      </c>
      <c r="V48" s="12" t="s">
        <v>433</v>
      </c>
      <c r="W48" s="12" t="s">
        <v>434</v>
      </c>
      <c r="X48" s="9"/>
      <c r="Y48" s="9"/>
      <c r="Z48" s="9"/>
    </row>
    <row r="49" spans="1:26" ht="80.099999999999994" customHeight="1" x14ac:dyDescent="0.25">
      <c r="A49" s="19" t="s">
        <v>384</v>
      </c>
      <c r="B49" s="7">
        <v>48</v>
      </c>
      <c r="C49" s="8">
        <f>ROUND('Scoring Model'!$B$4*N49+'Scoring Model'!$B$5*O49+'Scoring Model'!$B$6*P49+'Scoring Model'!$B$7*Q49+'Scoring Model'!$B$8*R49+'Scoring Model'!$B$9*S49+'Scoring Model'!$B$10*T49-'Scoring Model'!$B$11*U49,1)</f>
        <v>51.3</v>
      </c>
      <c r="D49" s="9" t="s">
        <v>435</v>
      </c>
      <c r="E49" s="9" t="s">
        <v>436</v>
      </c>
      <c r="F49" s="9" t="s">
        <v>437</v>
      </c>
      <c r="G49" s="10">
        <v>407</v>
      </c>
      <c r="H49" s="10">
        <v>293</v>
      </c>
      <c r="I49" s="11">
        <f t="shared" si="2"/>
        <v>1.3890784982935154</v>
      </c>
      <c r="J49" s="9" t="s">
        <v>136</v>
      </c>
      <c r="K49" s="12" t="s">
        <v>438</v>
      </c>
      <c r="L49" s="12" t="s">
        <v>439</v>
      </c>
      <c r="M49" s="12" t="s">
        <v>97</v>
      </c>
      <c r="N49" s="13">
        <v>1</v>
      </c>
      <c r="O49" s="13">
        <v>3</v>
      </c>
      <c r="P49" s="13">
        <v>1</v>
      </c>
      <c r="Q49" s="13">
        <v>3</v>
      </c>
      <c r="R49" s="13">
        <v>2</v>
      </c>
      <c r="S49" s="13">
        <v>0</v>
      </c>
      <c r="T49" s="14">
        <f t="shared" si="3"/>
        <v>0.25</v>
      </c>
      <c r="U49" s="13">
        <v>0</v>
      </c>
      <c r="V49" s="12" t="s">
        <v>440</v>
      </c>
      <c r="W49" s="12" t="s">
        <v>441</v>
      </c>
      <c r="X49" s="9"/>
      <c r="Y49" s="9"/>
      <c r="Z49" s="9"/>
    </row>
    <row r="50" spans="1:26" ht="80.099999999999994" customHeight="1" x14ac:dyDescent="0.25">
      <c r="A50" s="19" t="s">
        <v>384</v>
      </c>
      <c r="B50" s="7">
        <v>49</v>
      </c>
      <c r="C50" s="8">
        <f>ROUND('Scoring Model'!$B$4*N50+'Scoring Model'!$B$5*O50+'Scoring Model'!$B$6*P50+'Scoring Model'!$B$7*Q50+'Scoring Model'!$B$8*R50+'Scoring Model'!$B$9*S50+'Scoring Model'!$B$10*T50-'Scoring Model'!$B$11*U50,1)</f>
        <v>51</v>
      </c>
      <c r="D50" s="9" t="s">
        <v>442</v>
      </c>
      <c r="E50" s="9" t="s">
        <v>443</v>
      </c>
      <c r="F50" s="9" t="s">
        <v>444</v>
      </c>
      <c r="G50" s="10">
        <v>11500</v>
      </c>
      <c r="H50" s="10">
        <v>1585</v>
      </c>
      <c r="I50" s="11">
        <f t="shared" si="2"/>
        <v>7.2555205047318614</v>
      </c>
      <c r="J50" s="9" t="s">
        <v>136</v>
      </c>
      <c r="K50" s="12" t="s">
        <v>445</v>
      </c>
      <c r="L50" s="12" t="s">
        <v>446</v>
      </c>
      <c r="M50" s="12" t="s">
        <v>447</v>
      </c>
      <c r="N50" s="13">
        <v>3</v>
      </c>
      <c r="O50" s="13">
        <v>0</v>
      </c>
      <c r="P50" s="13">
        <v>1</v>
      </c>
      <c r="Q50" s="13">
        <v>3</v>
      </c>
      <c r="R50" s="13">
        <v>1</v>
      </c>
      <c r="S50" s="13">
        <v>1</v>
      </c>
      <c r="T50" s="14">
        <f t="shared" si="3"/>
        <v>0.5</v>
      </c>
      <c r="U50" s="13">
        <v>0</v>
      </c>
      <c r="V50" s="12" t="s">
        <v>448</v>
      </c>
      <c r="W50" s="12" t="s">
        <v>449</v>
      </c>
      <c r="X50" s="9"/>
      <c r="Y50" s="9"/>
      <c r="Z50" s="9"/>
    </row>
    <row r="51" spans="1:26" ht="80.099999999999994" customHeight="1" x14ac:dyDescent="0.25">
      <c r="A51" s="19" t="s">
        <v>384</v>
      </c>
      <c r="B51" s="7">
        <v>50</v>
      </c>
      <c r="C51" s="8">
        <f>ROUND('Scoring Model'!$B$4*N51+'Scoring Model'!$B$5*O51+'Scoring Model'!$B$6*P51+'Scoring Model'!$B$7*Q51+'Scoring Model'!$B$8*R51+'Scoring Model'!$B$9*S51+'Scoring Model'!$B$10*T51-'Scoring Model'!$B$11*U51,1)</f>
        <v>49.5</v>
      </c>
      <c r="D51" s="9" t="s">
        <v>450</v>
      </c>
      <c r="E51" s="9" t="s">
        <v>451</v>
      </c>
      <c r="F51" s="9" t="s">
        <v>452</v>
      </c>
      <c r="G51" s="10">
        <v>7403</v>
      </c>
      <c r="H51" s="10">
        <v>508</v>
      </c>
      <c r="I51" s="11">
        <f t="shared" si="2"/>
        <v>14.572834645669291</v>
      </c>
      <c r="J51" s="9" t="s">
        <v>136</v>
      </c>
      <c r="K51" s="12" t="s">
        <v>453</v>
      </c>
      <c r="L51" s="12" t="s">
        <v>454</v>
      </c>
      <c r="M51" s="12" t="s">
        <v>97</v>
      </c>
      <c r="N51" s="13">
        <v>1</v>
      </c>
      <c r="O51" s="13">
        <v>1</v>
      </c>
      <c r="P51" s="13">
        <v>1</v>
      </c>
      <c r="Q51" s="13">
        <v>3</v>
      </c>
      <c r="R51" s="13">
        <v>2</v>
      </c>
      <c r="S51" s="13">
        <v>1</v>
      </c>
      <c r="T51" s="14">
        <f t="shared" si="3"/>
        <v>1</v>
      </c>
      <c r="U51" s="13">
        <v>0</v>
      </c>
      <c r="V51" s="12" t="s">
        <v>455</v>
      </c>
      <c r="W51" s="12" t="s">
        <v>456</v>
      </c>
      <c r="X51" s="9"/>
      <c r="Y51" s="9"/>
      <c r="Z51" s="9"/>
    </row>
    <row r="52" spans="1:26" ht="80.099999999999994" customHeight="1" x14ac:dyDescent="0.25">
      <c r="A52" s="19" t="s">
        <v>384</v>
      </c>
      <c r="B52" s="7">
        <v>51</v>
      </c>
      <c r="C52" s="8">
        <f>ROUND('Scoring Model'!$B$4*N52+'Scoring Model'!$B$5*O52+'Scoring Model'!$B$6*P52+'Scoring Model'!$B$7*Q52+'Scoring Model'!$B$8*R52+'Scoring Model'!$B$9*S52+'Scoring Model'!$B$10*T52-'Scoring Model'!$B$11*U52,1)</f>
        <v>48.5</v>
      </c>
      <c r="D52" s="9" t="s">
        <v>457</v>
      </c>
      <c r="E52" s="9" t="s">
        <v>458</v>
      </c>
      <c r="F52" s="9" t="s">
        <v>459</v>
      </c>
      <c r="G52" s="10">
        <v>43600</v>
      </c>
      <c r="H52" s="10">
        <v>1949</v>
      </c>
      <c r="I52" s="11">
        <f t="shared" si="2"/>
        <v>22.370446382760392</v>
      </c>
      <c r="J52" s="9" t="s">
        <v>136</v>
      </c>
      <c r="K52" s="12" t="s">
        <v>460</v>
      </c>
      <c r="L52" s="12" t="s">
        <v>461</v>
      </c>
      <c r="M52" s="12" t="s">
        <v>192</v>
      </c>
      <c r="N52" s="13">
        <v>1</v>
      </c>
      <c r="O52" s="13">
        <v>1</v>
      </c>
      <c r="P52" s="13">
        <v>1</v>
      </c>
      <c r="Q52" s="13">
        <v>1</v>
      </c>
      <c r="R52" s="13">
        <v>2</v>
      </c>
      <c r="S52" s="13">
        <v>2</v>
      </c>
      <c r="T52" s="14">
        <f t="shared" si="3"/>
        <v>1.5</v>
      </c>
      <c r="U52" s="13">
        <v>0</v>
      </c>
      <c r="V52" s="12" t="s">
        <v>462</v>
      </c>
      <c r="W52" s="12" t="s">
        <v>463</v>
      </c>
      <c r="X52" s="9"/>
      <c r="Y52" s="9"/>
      <c r="Z52" s="9"/>
    </row>
    <row r="53" spans="1:26" ht="80.099999999999994" customHeight="1" x14ac:dyDescent="0.25">
      <c r="A53" s="19" t="s">
        <v>384</v>
      </c>
      <c r="B53" s="7">
        <v>52</v>
      </c>
      <c r="C53" s="8">
        <f>ROUND('Scoring Model'!$B$4*N53+'Scoring Model'!$B$5*O53+'Scoring Model'!$B$6*P53+'Scoring Model'!$B$7*Q53+'Scoring Model'!$B$8*R53+'Scoring Model'!$B$9*S53+'Scoring Model'!$B$10*T53-'Scoring Model'!$B$11*U53,1)</f>
        <v>48</v>
      </c>
      <c r="D53" s="9" t="s">
        <v>464</v>
      </c>
      <c r="E53" s="9" t="s">
        <v>465</v>
      </c>
      <c r="F53" s="9" t="s">
        <v>466</v>
      </c>
      <c r="G53" s="10">
        <v>18100</v>
      </c>
      <c r="H53" s="10">
        <v>688</v>
      </c>
      <c r="I53" s="11">
        <f t="shared" si="2"/>
        <v>26.308139534883722</v>
      </c>
      <c r="J53" s="9" t="s">
        <v>136</v>
      </c>
      <c r="K53" s="12" t="s">
        <v>467</v>
      </c>
      <c r="L53" s="12" t="s">
        <v>373</v>
      </c>
      <c r="M53" s="12" t="s">
        <v>97</v>
      </c>
      <c r="N53" s="13">
        <v>1</v>
      </c>
      <c r="O53" s="13">
        <v>1</v>
      </c>
      <c r="P53" s="13">
        <v>1</v>
      </c>
      <c r="Q53" s="13">
        <v>2</v>
      </c>
      <c r="R53" s="13">
        <v>2</v>
      </c>
      <c r="S53" s="13">
        <v>1</v>
      </c>
      <c r="T53" s="14">
        <f t="shared" si="3"/>
        <v>1.5</v>
      </c>
      <c r="U53" s="13">
        <v>0</v>
      </c>
      <c r="V53" s="12" t="s">
        <v>468</v>
      </c>
      <c r="W53" s="12" t="s">
        <v>469</v>
      </c>
      <c r="X53" s="9"/>
      <c r="Y53" s="9"/>
      <c r="Z53" s="9"/>
    </row>
    <row r="54" spans="1:26" ht="80.099999999999994" customHeight="1" x14ac:dyDescent="0.25">
      <c r="A54" s="19" t="s">
        <v>384</v>
      </c>
      <c r="B54" s="7">
        <v>53</v>
      </c>
      <c r="C54" s="8">
        <f>ROUND('Scoring Model'!$B$4*N54+'Scoring Model'!$B$5*O54+'Scoring Model'!$B$6*P54+'Scoring Model'!$B$7*Q54+'Scoring Model'!$B$8*R54+'Scoring Model'!$B$9*S54+'Scoring Model'!$B$10*T54-'Scoring Model'!$B$11*U54,1)</f>
        <v>48</v>
      </c>
      <c r="D54" s="9" t="s">
        <v>470</v>
      </c>
      <c r="E54" s="9" t="s">
        <v>471</v>
      </c>
      <c r="F54" s="9" t="s">
        <v>472</v>
      </c>
      <c r="G54" s="10">
        <v>57700</v>
      </c>
      <c r="H54" s="10">
        <v>1422</v>
      </c>
      <c r="I54" s="11">
        <f t="shared" si="2"/>
        <v>40.576652601969059</v>
      </c>
      <c r="J54" s="9" t="s">
        <v>136</v>
      </c>
      <c r="K54" s="12" t="s">
        <v>332</v>
      </c>
      <c r="L54" s="12" t="s">
        <v>473</v>
      </c>
      <c r="M54" s="12" t="s">
        <v>89</v>
      </c>
      <c r="N54" s="13">
        <v>3</v>
      </c>
      <c r="O54" s="13">
        <v>0</v>
      </c>
      <c r="P54" s="13">
        <v>1</v>
      </c>
      <c r="Q54" s="13">
        <v>1</v>
      </c>
      <c r="R54" s="13">
        <v>1</v>
      </c>
      <c r="S54" s="13">
        <v>1</v>
      </c>
      <c r="T54" s="14">
        <f t="shared" si="3"/>
        <v>1.5</v>
      </c>
      <c r="U54" s="13">
        <v>0</v>
      </c>
      <c r="V54" s="12" t="s">
        <v>474</v>
      </c>
      <c r="W54" s="12" t="s">
        <v>475</v>
      </c>
      <c r="X54" s="9"/>
      <c r="Y54" s="9"/>
      <c r="Z54" s="9"/>
    </row>
    <row r="55" spans="1:26" ht="80.099999999999994" customHeight="1" x14ac:dyDescent="0.25">
      <c r="A55" s="19" t="s">
        <v>384</v>
      </c>
      <c r="B55" s="7">
        <v>54</v>
      </c>
      <c r="C55" s="8">
        <f>ROUND('Scoring Model'!$B$4*N55+'Scoring Model'!$B$5*O55+'Scoring Model'!$B$6*P55+'Scoring Model'!$B$7*Q55+'Scoring Model'!$B$8*R55+'Scoring Model'!$B$9*S55+'Scoring Model'!$B$10*T55-'Scoring Model'!$B$11*U55,1)</f>
        <v>46.5</v>
      </c>
      <c r="D55" s="9" t="s">
        <v>476</v>
      </c>
      <c r="E55" s="9" t="s">
        <v>477</v>
      </c>
      <c r="F55" s="9" t="s">
        <v>478</v>
      </c>
      <c r="G55" s="10">
        <v>6287</v>
      </c>
      <c r="H55" s="10">
        <v>528</v>
      </c>
      <c r="I55" s="11">
        <f t="shared" si="2"/>
        <v>11.907196969696969</v>
      </c>
      <c r="J55" s="9" t="s">
        <v>136</v>
      </c>
      <c r="K55" s="12" t="s">
        <v>479</v>
      </c>
      <c r="L55" s="12" t="s">
        <v>138</v>
      </c>
      <c r="M55" s="12" t="s">
        <v>480</v>
      </c>
      <c r="N55" s="13">
        <v>2</v>
      </c>
      <c r="O55" s="13">
        <v>3</v>
      </c>
      <c r="P55" s="13">
        <v>1</v>
      </c>
      <c r="Q55" s="13">
        <v>3</v>
      </c>
      <c r="R55" s="13">
        <v>3</v>
      </c>
      <c r="S55" s="13">
        <v>1</v>
      </c>
      <c r="T55" s="14">
        <f t="shared" si="3"/>
        <v>1</v>
      </c>
      <c r="U55" s="13">
        <v>1</v>
      </c>
      <c r="V55" s="12" t="s">
        <v>481</v>
      </c>
      <c r="W55" s="12" t="s">
        <v>482</v>
      </c>
      <c r="X55" s="9"/>
      <c r="Y55" s="9"/>
      <c r="Z55" s="9"/>
    </row>
    <row r="56" spans="1:26" ht="80.099999999999994" customHeight="1" x14ac:dyDescent="0.25">
      <c r="A56" s="19" t="s">
        <v>384</v>
      </c>
      <c r="B56" s="7">
        <v>55</v>
      </c>
      <c r="C56" s="8">
        <f>ROUND('Scoring Model'!$B$4*N56+'Scoring Model'!$B$5*O56+'Scoring Model'!$B$6*P56+'Scoring Model'!$B$7*Q56+'Scoring Model'!$B$8*R56+'Scoring Model'!$B$9*S56+'Scoring Model'!$B$10*T56-'Scoring Model'!$B$11*U56,1)</f>
        <v>42.5</v>
      </c>
      <c r="D56" s="9" t="s">
        <v>483</v>
      </c>
      <c r="E56" s="9" t="s">
        <v>484</v>
      </c>
      <c r="F56" s="9" t="s">
        <v>485</v>
      </c>
      <c r="G56" s="10">
        <v>7841</v>
      </c>
      <c r="H56" s="10">
        <v>1028</v>
      </c>
      <c r="I56" s="11">
        <f t="shared" si="2"/>
        <v>7.6274319066147864</v>
      </c>
      <c r="J56" s="9" t="s">
        <v>136</v>
      </c>
      <c r="K56" s="12" t="s">
        <v>486</v>
      </c>
      <c r="L56" s="12" t="s">
        <v>487</v>
      </c>
      <c r="M56" s="12" t="s">
        <v>488</v>
      </c>
      <c r="N56" s="13">
        <v>1</v>
      </c>
      <c r="O56" s="13">
        <v>2</v>
      </c>
      <c r="P56" s="13">
        <v>1</v>
      </c>
      <c r="Q56" s="13">
        <v>3</v>
      </c>
      <c r="R56" s="13">
        <v>1</v>
      </c>
      <c r="S56" s="13">
        <v>0</v>
      </c>
      <c r="T56" s="14">
        <f t="shared" si="3"/>
        <v>0.5</v>
      </c>
      <c r="U56" s="13">
        <v>0</v>
      </c>
      <c r="V56" s="12" t="s">
        <v>489</v>
      </c>
      <c r="W56" s="12" t="s">
        <v>490</v>
      </c>
      <c r="X56" s="9"/>
      <c r="Y56" s="9"/>
      <c r="Z56" s="9"/>
    </row>
    <row r="57" spans="1:26" ht="80.099999999999994" customHeight="1" x14ac:dyDescent="0.25">
      <c r="A57" s="19" t="s">
        <v>384</v>
      </c>
      <c r="B57" s="7">
        <v>56</v>
      </c>
      <c r="C57" s="8">
        <f>ROUND('Scoring Model'!$B$4*N57+'Scoring Model'!$B$5*O57+'Scoring Model'!$B$6*P57+'Scoring Model'!$B$7*Q57+'Scoring Model'!$B$8*R57+'Scoring Model'!$B$9*S57+'Scoring Model'!$B$10*T57-'Scoring Model'!$B$11*U57,1)</f>
        <v>40</v>
      </c>
      <c r="D57" s="9" t="s">
        <v>491</v>
      </c>
      <c r="E57" s="9" t="s">
        <v>492</v>
      </c>
      <c r="F57" s="9" t="s">
        <v>493</v>
      </c>
      <c r="G57" s="10">
        <v>63000</v>
      </c>
      <c r="H57" s="10">
        <v>2003</v>
      </c>
      <c r="I57" s="11">
        <f t="shared" si="2"/>
        <v>31.452820768846731</v>
      </c>
      <c r="J57" s="9" t="s">
        <v>136</v>
      </c>
      <c r="K57" s="12" t="s">
        <v>453</v>
      </c>
      <c r="L57" s="12" t="s">
        <v>494</v>
      </c>
      <c r="M57" s="12" t="s">
        <v>495</v>
      </c>
      <c r="N57" s="13">
        <v>1</v>
      </c>
      <c r="O57" s="13">
        <v>1</v>
      </c>
      <c r="P57" s="13">
        <v>2</v>
      </c>
      <c r="Q57" s="13">
        <v>1</v>
      </c>
      <c r="R57" s="13">
        <v>0</v>
      </c>
      <c r="S57" s="13">
        <v>1</v>
      </c>
      <c r="T57" s="14">
        <f t="shared" si="3"/>
        <v>1.5</v>
      </c>
      <c r="U57" s="13">
        <v>0</v>
      </c>
      <c r="V57" s="12" t="s">
        <v>496</v>
      </c>
      <c r="W57" s="12" t="s">
        <v>497</v>
      </c>
      <c r="X57" s="9"/>
      <c r="Y57" s="9"/>
      <c r="Z57" s="9"/>
    </row>
    <row r="58" spans="1:26" ht="80.099999999999994" customHeight="1" x14ac:dyDescent="0.25">
      <c r="A58" s="19" t="s">
        <v>384</v>
      </c>
      <c r="B58" s="7">
        <v>57</v>
      </c>
      <c r="C58" s="8">
        <f>ROUND('Scoring Model'!$B$4*N58+'Scoring Model'!$B$5*O58+'Scoring Model'!$B$6*P58+'Scoring Model'!$B$7*Q58+'Scoring Model'!$B$8*R58+'Scoring Model'!$B$9*S58+'Scoring Model'!$B$10*T58-'Scoring Model'!$B$11*U58,1)</f>
        <v>36.299999999999997</v>
      </c>
      <c r="D58" s="9" t="s">
        <v>498</v>
      </c>
      <c r="E58" s="9" t="s">
        <v>499</v>
      </c>
      <c r="F58" s="9" t="s">
        <v>500</v>
      </c>
      <c r="G58" s="10">
        <v>4717</v>
      </c>
      <c r="H58" s="10">
        <v>1262</v>
      </c>
      <c r="I58" s="11">
        <f t="shared" si="2"/>
        <v>3.7377179080824088</v>
      </c>
      <c r="J58" s="9" t="s">
        <v>136</v>
      </c>
      <c r="K58" s="12" t="s">
        <v>501</v>
      </c>
      <c r="L58" s="12" t="s">
        <v>502</v>
      </c>
      <c r="M58" s="12" t="s">
        <v>503</v>
      </c>
      <c r="N58" s="13">
        <v>1</v>
      </c>
      <c r="O58" s="13">
        <v>1</v>
      </c>
      <c r="P58" s="13">
        <v>1</v>
      </c>
      <c r="Q58" s="13">
        <v>3</v>
      </c>
      <c r="R58" s="13">
        <v>1</v>
      </c>
      <c r="S58" s="13">
        <v>0</v>
      </c>
      <c r="T58" s="14">
        <f t="shared" si="3"/>
        <v>0.25</v>
      </c>
      <c r="U58" s="13">
        <v>0</v>
      </c>
      <c r="V58" s="12" t="s">
        <v>504</v>
      </c>
      <c r="W58" s="12" t="s">
        <v>505</v>
      </c>
      <c r="X58" s="9"/>
      <c r="Y58" s="9"/>
      <c r="Z58" s="9"/>
    </row>
    <row r="59" spans="1:26" ht="80.099999999999994" customHeight="1" x14ac:dyDescent="0.25">
      <c r="A59" s="19" t="s">
        <v>384</v>
      </c>
      <c r="B59" s="7">
        <v>58</v>
      </c>
      <c r="C59" s="8">
        <f>ROUND('Scoring Model'!$B$4*N59+'Scoring Model'!$B$5*O59+'Scoring Model'!$B$6*P59+'Scoring Model'!$B$7*Q59+'Scoring Model'!$B$8*R59+'Scoring Model'!$B$9*S59+'Scoring Model'!$B$10*T59-'Scoring Model'!$B$11*U59,1)</f>
        <v>34</v>
      </c>
      <c r="D59" s="9" t="s">
        <v>506</v>
      </c>
      <c r="E59" s="9" t="s">
        <v>507</v>
      </c>
      <c r="F59" s="9" t="s">
        <v>508</v>
      </c>
      <c r="G59" s="10">
        <v>56500</v>
      </c>
      <c r="H59" s="10">
        <v>2768</v>
      </c>
      <c r="I59" s="11">
        <f t="shared" si="2"/>
        <v>20.411849710982658</v>
      </c>
      <c r="J59" s="9" t="s">
        <v>136</v>
      </c>
      <c r="K59" s="12" t="s">
        <v>509</v>
      </c>
      <c r="L59" s="12" t="s">
        <v>510</v>
      </c>
      <c r="M59" s="12" t="s">
        <v>511</v>
      </c>
      <c r="N59" s="13">
        <v>1</v>
      </c>
      <c r="O59" s="13">
        <v>1</v>
      </c>
      <c r="P59" s="13">
        <v>1</v>
      </c>
      <c r="Q59" s="13">
        <v>1</v>
      </c>
      <c r="R59" s="13">
        <v>0</v>
      </c>
      <c r="S59" s="13">
        <v>1</v>
      </c>
      <c r="T59" s="14">
        <f t="shared" si="3"/>
        <v>1.5</v>
      </c>
      <c r="U59" s="13">
        <v>0</v>
      </c>
      <c r="V59" s="12" t="s">
        <v>512</v>
      </c>
      <c r="W59" s="12" t="s">
        <v>513</v>
      </c>
      <c r="X59" s="9"/>
      <c r="Y59" s="9"/>
      <c r="Z59" s="9"/>
    </row>
    <row r="60" spans="1:26" ht="80.099999999999994" customHeight="1" x14ac:dyDescent="0.25">
      <c r="A60" s="19" t="s">
        <v>384</v>
      </c>
      <c r="B60" s="7">
        <v>59</v>
      </c>
      <c r="C60" s="8">
        <f>ROUND('Scoring Model'!$B$4*N60+'Scoring Model'!$B$5*O60+'Scoring Model'!$B$6*P60+'Scoring Model'!$B$7*Q60+'Scoring Model'!$B$8*R60+'Scoring Model'!$B$9*S60+'Scoring Model'!$B$10*T60-'Scoring Model'!$B$11*U60,1)</f>
        <v>9</v>
      </c>
      <c r="D60" s="9" t="s">
        <v>514</v>
      </c>
      <c r="E60" s="9" t="s">
        <v>142</v>
      </c>
      <c r="F60" s="9" t="s">
        <v>515</v>
      </c>
      <c r="G60" s="10">
        <v>33600</v>
      </c>
      <c r="H60" s="10">
        <v>2250</v>
      </c>
      <c r="I60" s="11">
        <f t="shared" si="2"/>
        <v>14.933333333333334</v>
      </c>
      <c r="J60" s="9" t="s">
        <v>136</v>
      </c>
      <c r="K60" s="12" t="s">
        <v>136</v>
      </c>
      <c r="L60" s="12" t="s">
        <v>136</v>
      </c>
      <c r="M60" s="12" t="s">
        <v>136</v>
      </c>
      <c r="N60" s="13">
        <v>0</v>
      </c>
      <c r="O60" s="13">
        <v>0</v>
      </c>
      <c r="P60" s="13">
        <v>0</v>
      </c>
      <c r="Q60" s="13">
        <v>1</v>
      </c>
      <c r="R60" s="13">
        <v>0</v>
      </c>
      <c r="S60" s="13">
        <v>0</v>
      </c>
      <c r="T60" s="14">
        <f t="shared" si="3"/>
        <v>1</v>
      </c>
      <c r="U60" s="13">
        <v>0</v>
      </c>
      <c r="V60" s="12" t="s">
        <v>516</v>
      </c>
      <c r="W60" s="12" t="s">
        <v>517</v>
      </c>
      <c r="X60" s="9"/>
      <c r="Y60" s="9"/>
      <c r="Z60" s="9"/>
    </row>
    <row r="62" spans="1:26" x14ac:dyDescent="0.25">
      <c r="A62" s="20" t="s">
        <v>518</v>
      </c>
    </row>
    <row r="63" spans="1:26" x14ac:dyDescent="0.25">
      <c r="A63" s="20" t="s">
        <v>519</v>
      </c>
    </row>
    <row r="64" spans="1:26" x14ac:dyDescent="0.25">
      <c r="A64" s="20" t="s">
        <v>520</v>
      </c>
    </row>
    <row r="65" spans="1:1" x14ac:dyDescent="0.25">
      <c r="A65" s="20" t="s">
        <v>521</v>
      </c>
    </row>
    <row r="66" spans="1:1" x14ac:dyDescent="0.25">
      <c r="A66" s="20" t="s">
        <v>522</v>
      </c>
    </row>
  </sheetData>
  <autoFilter ref="A1:Z60" xr:uid="{00000000-0009-0000-0000-00000100000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5"/>
  <sheetViews>
    <sheetView workbookViewId="0"/>
  </sheetViews>
  <sheetFormatPr defaultRowHeight="15" x14ac:dyDescent="0.25"/>
  <cols>
    <col min="1" max="1" width="30" customWidth="1"/>
    <col min="2" max="2" width="12" customWidth="1"/>
    <col min="3" max="3" width="110" customWidth="1"/>
  </cols>
  <sheetData>
    <row r="1" spans="1:3" ht="16.5" x14ac:dyDescent="0.25">
      <c r="A1" s="21" t="s">
        <v>523</v>
      </c>
    </row>
    <row r="2" spans="1:3" x14ac:dyDescent="0.25">
      <c r="A2" s="22" t="s">
        <v>524</v>
      </c>
    </row>
    <row r="4" spans="1:3" x14ac:dyDescent="0.25">
      <c r="A4" s="4" t="s">
        <v>525</v>
      </c>
      <c r="B4" s="23">
        <v>7</v>
      </c>
      <c r="C4" s="20" t="s">
        <v>526</v>
      </c>
    </row>
    <row r="5" spans="1:3" x14ac:dyDescent="0.25">
      <c r="A5" s="4" t="s">
        <v>527</v>
      </c>
      <c r="B5" s="23">
        <v>5</v>
      </c>
      <c r="C5" s="20" t="s">
        <v>528</v>
      </c>
    </row>
    <row r="6" spans="1:3" x14ac:dyDescent="0.25">
      <c r="A6" s="4" t="s">
        <v>529</v>
      </c>
      <c r="B6" s="23">
        <v>6</v>
      </c>
      <c r="C6" s="20" t="s">
        <v>530</v>
      </c>
    </row>
    <row r="7" spans="1:3" x14ac:dyDescent="0.25">
      <c r="A7" s="4" t="s">
        <v>531</v>
      </c>
      <c r="B7" s="23">
        <v>4</v>
      </c>
      <c r="C7" s="20" t="s">
        <v>532</v>
      </c>
    </row>
    <row r="8" spans="1:3" x14ac:dyDescent="0.25">
      <c r="A8" s="4" t="s">
        <v>533</v>
      </c>
      <c r="B8" s="23">
        <v>5</v>
      </c>
      <c r="C8" s="20" t="s">
        <v>534</v>
      </c>
    </row>
    <row r="9" spans="1:3" x14ac:dyDescent="0.25">
      <c r="A9" s="4" t="s">
        <v>535</v>
      </c>
      <c r="B9" s="23">
        <v>4.5</v>
      </c>
      <c r="C9" s="20" t="s">
        <v>536</v>
      </c>
    </row>
    <row r="10" spans="1:3" x14ac:dyDescent="0.25">
      <c r="A10" s="4" t="s">
        <v>537</v>
      </c>
      <c r="B10" s="23">
        <v>5</v>
      </c>
      <c r="C10" s="20" t="s">
        <v>538</v>
      </c>
    </row>
    <row r="11" spans="1:3" x14ac:dyDescent="0.25">
      <c r="A11" s="4" t="s">
        <v>539</v>
      </c>
      <c r="B11" s="23">
        <v>25</v>
      </c>
      <c r="C11" s="20" t="s">
        <v>540</v>
      </c>
    </row>
    <row r="13" spans="1:3" x14ac:dyDescent="0.25">
      <c r="A13" s="24" t="s">
        <v>541</v>
      </c>
      <c r="B13" s="24">
        <f>B4*3+B5*3+B6*3+B7*3+B8*3+B9*2+B10*2</f>
        <v>100</v>
      </c>
    </row>
    <row r="15" spans="1:3" x14ac:dyDescent="0.25">
      <c r="A15" s="20" t="s">
        <v>542</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workbookViewId="0"/>
  </sheetViews>
  <sheetFormatPr defaultRowHeight="15" x14ac:dyDescent="0.25"/>
  <cols>
    <col min="1" max="1" width="22" customWidth="1"/>
    <col min="2" max="2" width="24" customWidth="1"/>
    <col min="3" max="3" width="11" customWidth="1"/>
    <col min="4" max="4" width="16" customWidth="1"/>
    <col min="5" max="5" width="34" customWidth="1"/>
    <col min="6" max="6" width="76" customWidth="1"/>
  </cols>
  <sheetData>
    <row r="1" spans="1:6" ht="15.75" x14ac:dyDescent="0.25">
      <c r="A1" s="25" t="s">
        <v>543</v>
      </c>
    </row>
    <row r="2" spans="1:6" x14ac:dyDescent="0.25">
      <c r="A2" s="22" t="s">
        <v>544</v>
      </c>
    </row>
    <row r="4" spans="1:6" x14ac:dyDescent="0.25">
      <c r="A4" s="26" t="s">
        <v>50</v>
      </c>
      <c r="B4" s="26" t="s">
        <v>51</v>
      </c>
      <c r="C4" s="26" t="s">
        <v>53</v>
      </c>
      <c r="D4" s="26" t="s">
        <v>56</v>
      </c>
      <c r="E4" s="26" t="s">
        <v>545</v>
      </c>
      <c r="F4" s="26" t="s">
        <v>546</v>
      </c>
    </row>
    <row r="5" spans="1:6" ht="42" customHeight="1" x14ac:dyDescent="0.25">
      <c r="A5" s="9" t="s">
        <v>547</v>
      </c>
      <c r="B5" s="9" t="s">
        <v>548</v>
      </c>
      <c r="C5" s="10">
        <v>126000</v>
      </c>
      <c r="D5" s="9" t="s">
        <v>258</v>
      </c>
      <c r="E5" s="12" t="s">
        <v>549</v>
      </c>
      <c r="F5" s="12" t="s">
        <v>550</v>
      </c>
    </row>
    <row r="6" spans="1:6" ht="42" customHeight="1" x14ac:dyDescent="0.25">
      <c r="A6" s="9" t="s">
        <v>551</v>
      </c>
      <c r="B6" s="9" t="s">
        <v>552</v>
      </c>
      <c r="C6" s="9" t="s">
        <v>553</v>
      </c>
      <c r="D6" s="9" t="s">
        <v>136</v>
      </c>
      <c r="E6" s="12" t="s">
        <v>554</v>
      </c>
      <c r="F6" s="12" t="s">
        <v>555</v>
      </c>
    </row>
    <row r="7" spans="1:6" ht="42" customHeight="1" x14ac:dyDescent="0.25">
      <c r="A7" s="9" t="s">
        <v>556</v>
      </c>
      <c r="B7" s="9" t="s">
        <v>557</v>
      </c>
      <c r="C7" s="9" t="s">
        <v>553</v>
      </c>
      <c r="D7" s="9" t="s">
        <v>136</v>
      </c>
      <c r="E7" s="12" t="s">
        <v>558</v>
      </c>
      <c r="F7" s="12" t="s">
        <v>559</v>
      </c>
    </row>
    <row r="8" spans="1:6" ht="42" customHeight="1" x14ac:dyDescent="0.25">
      <c r="A8" s="9" t="s">
        <v>560</v>
      </c>
      <c r="B8" s="9" t="s">
        <v>561</v>
      </c>
      <c r="C8" s="9" t="s">
        <v>553</v>
      </c>
      <c r="D8" s="9" t="s">
        <v>136</v>
      </c>
      <c r="E8" s="12" t="s">
        <v>562</v>
      </c>
      <c r="F8" s="12" t="s">
        <v>563</v>
      </c>
    </row>
    <row r="9" spans="1:6" ht="42" customHeight="1" x14ac:dyDescent="0.25">
      <c r="A9" s="9" t="s">
        <v>564</v>
      </c>
      <c r="B9" s="9" t="s">
        <v>565</v>
      </c>
      <c r="C9" s="9" t="s">
        <v>553</v>
      </c>
      <c r="D9" s="9" t="s">
        <v>136</v>
      </c>
      <c r="E9" s="12" t="s">
        <v>566</v>
      </c>
      <c r="F9" s="12" t="s">
        <v>567</v>
      </c>
    </row>
    <row r="10" spans="1:6" ht="42" customHeight="1" x14ac:dyDescent="0.25">
      <c r="A10" s="9" t="s">
        <v>568</v>
      </c>
      <c r="B10" s="9" t="s">
        <v>569</v>
      </c>
      <c r="C10" s="9" t="s">
        <v>553</v>
      </c>
      <c r="D10" s="9" t="s">
        <v>136</v>
      </c>
      <c r="E10" s="12" t="s">
        <v>570</v>
      </c>
      <c r="F10" s="12" t="s">
        <v>567</v>
      </c>
    </row>
    <row r="11" spans="1:6" ht="42" customHeight="1" x14ac:dyDescent="0.25">
      <c r="A11" s="9" t="s">
        <v>571</v>
      </c>
      <c r="B11" s="9" t="s">
        <v>572</v>
      </c>
      <c r="C11" s="9" t="s">
        <v>553</v>
      </c>
      <c r="D11" s="9" t="s">
        <v>136</v>
      </c>
      <c r="E11" s="12" t="s">
        <v>573</v>
      </c>
      <c r="F11" s="12" t="s">
        <v>574</v>
      </c>
    </row>
    <row r="13" spans="1:6" x14ac:dyDescent="0.25">
      <c r="A13" s="24" t="s">
        <v>575</v>
      </c>
    </row>
    <row r="14" spans="1:6" x14ac:dyDescent="0.25">
      <c r="A14" s="4" t="s">
        <v>576</v>
      </c>
    </row>
    <row r="16" spans="1:6" x14ac:dyDescent="0.25">
      <c r="A16" s="20" t="s">
        <v>577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Start Here</vt:lpstr>
      <vt:lpstr>Master List</vt:lpstr>
      <vt:lpstr>Scoring Model</vt:lpstr>
      <vt:lpstr>Dealer and Partner Track</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2026-10-07T01:36:18Z</dcterms:created>
  <dcterms:modified xsi:type="dcterms:W3CDTF">2026-10-07T01:36:49Z</dcterms:modified>
  <cp:category/>
</cp:coreProperties>
</file>